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7566935540e120/Mạnh Việt Travel/"/>
    </mc:Choice>
  </mc:AlternateContent>
  <xr:revisionPtr revIDLastSave="73" documentId="13_ncr:1_{B1975220-6222-4BAA-8018-4432B3A9F2DE}" xr6:coauthVersionLast="47" xr6:coauthVersionMax="47" xr10:uidLastSave="{F26DFF67-9237-42A0-BA39-867CFCE1D728}"/>
  <bookViews>
    <workbookView xWindow="-120" yWindow="-120" windowWidth="29040" windowHeight="15840" activeTab="3" xr2:uid="{6CA58467-2334-449D-B751-60A4962F83E5}"/>
  </bookViews>
  <sheets>
    <sheet name="Thảo" sheetId="4" r:id="rId1"/>
    <sheet name="Sơn Jotun VAT" sheetId="3" r:id="rId2"/>
    <sheet name="Hân" sheetId="6" r:id="rId3"/>
    <sheet name="Chi" sheetId="9" r:id="rId4"/>
    <sheet name="Khách Lẻ" sheetId="1" r:id="rId5"/>
    <sheet name="Lương a Đà Lái Xe" sheetId="5" r:id="rId6"/>
    <sheet name="Hà Sự Kiện VAT (2)" sheetId="8" r:id="rId7"/>
    <sheet name="Hà Sự Kiện VAT" sheetId="7" r:id="rId8"/>
    <sheet name="Sheet3" sheetId="10" r:id="rId9"/>
    <sheet name="a Khoa (2)" sheetId="11" r:id="rId10"/>
  </sheets>
  <externalReferences>
    <externalReference r:id="rId11"/>
    <externalReference r:id="rId12"/>
  </externalReferences>
  <definedNames>
    <definedName name="MA_SO_XE">[1]DMPT!$A$3:$A$47</definedName>
    <definedName name="TEN_LAI_XE">[1]DMPT!$B$3:$B$47</definedName>
    <definedName name="TuyenDuong">[2]Sheet1!$B$2:$B$14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0" i="11" l="1"/>
  <c r="F22" i="5"/>
  <c r="E22" i="5"/>
  <c r="K25" i="4"/>
  <c r="K24" i="9"/>
  <c r="K21" i="7"/>
  <c r="K22" i="7" s="1"/>
  <c r="K21" i="8"/>
  <c r="K25" i="8" s="1"/>
  <c r="G15" i="8"/>
  <c r="G14" i="8"/>
  <c r="G13" i="8"/>
  <c r="G16" i="6"/>
  <c r="G15" i="6"/>
  <c r="G14" i="6"/>
  <c r="G13" i="6"/>
  <c r="G12" i="6"/>
  <c r="G15" i="7"/>
  <c r="G14" i="7"/>
  <c r="G13" i="7"/>
  <c r="G13" i="3"/>
  <c r="J17" i="3"/>
  <c r="K20" i="6"/>
  <c r="K17" i="3"/>
  <c r="K20" i="1"/>
  <c r="E23" i="5" l="1"/>
</calcChain>
</file>

<file path=xl/sharedStrings.xml><?xml version="1.0" encoding="utf-8"?>
<sst xmlns="http://schemas.openxmlformats.org/spreadsheetml/2006/main" count="338" uniqueCount="100">
  <si>
    <t>GIẤY XIN THANH TOÁN</t>
  </si>
  <si>
    <t>EXPENSE CLAIM FORM</t>
  </si>
  <si>
    <t>STT
NO</t>
  </si>
  <si>
    <t>HÀNH TRÌNH
DESCRIPTION</t>
  </si>
  <si>
    <t>NGƯỜI SỬ DỤNG
USER/VISITOR</t>
  </si>
  <si>
    <t>NGÀY
DATE</t>
  </si>
  <si>
    <t>THỜI GIAN ĐI
DEPART TIME</t>
  </si>
  <si>
    <t>THỜI GIAN VỀ
FINISHED TIME</t>
  </si>
  <si>
    <t>VÉ
TICKETS</t>
  </si>
  <si>
    <t>LOẠI XE
CAR TYPE</t>
  </si>
  <si>
    <t>TÊN LÁI XE
DRIVER NAME</t>
  </si>
  <si>
    <t>KM</t>
  </si>
  <si>
    <t>THÀNH TIỀN
AMOUNT</t>
  </si>
  <si>
    <t>TOTAL</t>
  </si>
  <si>
    <t>NOTE: DRIVER'S ACCOMODATION EXPENSE AND ROAD FEE ARE INCLUDED</t>
  </si>
  <si>
    <t>GIÁM ĐỐC 
DIRECTOR</t>
  </si>
  <si>
    <t>KHÁCH HÀNG
CUSTOMER'S CONFIRMATION</t>
  </si>
  <si>
    <t>7C</t>
  </si>
  <si>
    <t>Mạnh</t>
  </si>
  <si>
    <t>Tên Khách Hàng: Cty Sơn Jotun</t>
  </si>
  <si>
    <t>Tên Khách Hàng: a Khoa (Cty Tam Thanh)</t>
  </si>
  <si>
    <t>Tên Khách Hàng: Mr.Noad</t>
  </si>
  <si>
    <t>Sheraton Hotel - Sân bay Cát Bi</t>
  </si>
  <si>
    <t>Mr.Noad</t>
  </si>
  <si>
    <t>Sheraton Hotel - Minato</t>
  </si>
  <si>
    <t>16C</t>
  </si>
  <si>
    <t>Trung Sơn - Thiên Lôi - VN Ninh Bình - Thiên Lôi</t>
  </si>
  <si>
    <t>Mr.Hải</t>
  </si>
  <si>
    <t>4C</t>
  </si>
  <si>
    <r>
      <t xml:space="preserve">Hải Phòng - Xuân Trường, Nam Định  - TP Ninh Bình - Thanh Hóa </t>
    </r>
    <r>
      <rPr>
        <b/>
        <sz val="12"/>
        <color rgb="FFFF0000"/>
        <rFont val="Times New Roman"/>
        <family val="1"/>
      </rPr>
      <t>(lưu Đêm)</t>
    </r>
  </si>
  <si>
    <t>Thanh Hóa - Hải Phòng - Cầu Kiền 2</t>
  </si>
  <si>
    <t>Mr.Đà</t>
  </si>
  <si>
    <t>Tên Khách Hàng: Mrs.Ha</t>
  </si>
  <si>
    <t>VIMC</t>
  </si>
  <si>
    <t>Đà</t>
  </si>
  <si>
    <t>Hải Phòng - Hà Nội</t>
  </si>
  <si>
    <t>Mr.Nguyên</t>
  </si>
  <si>
    <t>Mr.Phú</t>
  </si>
  <si>
    <t>1 Đào Duy Anh, Hà Nội - Hạ Long - Hà Nội</t>
  </si>
  <si>
    <t>8A Trần Phú, Hải Phòng - Sân bay Nội Bài - Hạ Long</t>
  </si>
  <si>
    <t>InterContinental Hạ Long - Sân Bay Nội Bài</t>
  </si>
  <si>
    <t>Lee Cheng - Han</t>
  </si>
  <si>
    <t>Phúc</t>
  </si>
  <si>
    <t>Sơn</t>
  </si>
  <si>
    <t>Choi Ho Yeon</t>
  </si>
  <si>
    <t>Oh Myoungki
Lee Gyuhui</t>
  </si>
  <si>
    <t>Thảo</t>
  </si>
  <si>
    <t>Choo Chear Ping
Ong Jian Xiang</t>
  </si>
  <si>
    <t>Hải Phòng - L7 Hotel - Sân bay Nội Bài - L7 Hotel</t>
  </si>
  <si>
    <t>L7 Hotel - VN Ninh Bình - Nice Power - VietStar - Sheraton</t>
  </si>
  <si>
    <t xml:space="preserve">Hải Phòng - L7 Hotel - Hải Phòng </t>
  </si>
  <si>
    <t>Chủ Tịch</t>
  </si>
  <si>
    <t>Ms.Chi</t>
  </si>
  <si>
    <t>PullMan Hotel - Nice Power - VN Ninh Bình - Emeralda</t>
  </si>
  <si>
    <t>Emeralda Tam Cốc - Guang Han Lin - SB Nội Bài - Hải Phòng</t>
  </si>
  <si>
    <t>Ms.Hân, Chi</t>
  </si>
  <si>
    <t>Tên Khách Hàng: Ms.Hana</t>
  </si>
  <si>
    <t>Ms.Hana</t>
  </si>
  <si>
    <t>VAT 8%</t>
  </si>
  <si>
    <t>Tên Khách Hàng: CÔNG TY TNHH THƯƠNG MẠI SỰ KIỆN VÀ GIẢI TRÍ VIỆT ANH</t>
  </si>
  <si>
    <t>Tên Khách Hàng: Ms.Chi Skechers</t>
  </si>
  <si>
    <t>Quỳnh Hoàng - Cty SeeThing, KCN Đồ Sơn</t>
  </si>
  <si>
    <t>Mia Hoàng</t>
  </si>
  <si>
    <t>Cty SeeThing, KCN Đồ Sơn - Quỳnh Hoàng</t>
  </si>
  <si>
    <t>Sân bay Cát Bi - Nikko Hotel</t>
  </si>
  <si>
    <t>Nikko Hotel - Hải Phòng - Hải Dương -Việt Trì Phú Thọ 2c</t>
  </si>
  <si>
    <t>Mr.Jane</t>
  </si>
  <si>
    <t>Khúc Thừa Dụ - Oanh Vân Tiên Lãng</t>
  </si>
  <si>
    <t>Ms. Violet</t>
  </si>
  <si>
    <t>Vinh</t>
  </si>
  <si>
    <t>Oanh Vân Tiên Lãng - Khúc Thừa Dụ</t>
  </si>
  <si>
    <t xml:space="preserve">Nikko Hotel - Hải Phòng - Tiên Lãng - Thái Thụy - Nikko </t>
  </si>
  <si>
    <t>Nikko Hotel - Hải Phòng - Thanh Hóa - Hải Phòng</t>
  </si>
  <si>
    <t>Nikko Hotel - Hải Phòng - Sân Bay Nội Bài</t>
  </si>
  <si>
    <t>Thuế VAT 8%</t>
  </si>
  <si>
    <t>Phí VAT phát sinh</t>
  </si>
  <si>
    <t>STT</t>
  </si>
  <si>
    <t>Nội Dung Hoạt Động</t>
  </si>
  <si>
    <t>Cước trả</t>
  </si>
  <si>
    <t>Khách</t>
  </si>
  <si>
    <t>Skecher</t>
  </si>
  <si>
    <t>Lương Trả</t>
  </si>
  <si>
    <t>MR.ĐÀ T11/2025</t>
  </si>
  <si>
    <t>ĐÃ THANH TOÁN</t>
  </si>
  <si>
    <t>Minato - Thái Bình (Noad)</t>
  </si>
  <si>
    <t>Minato HP - Cty KingShine. Thái Bình  - Minato</t>
  </si>
  <si>
    <t>Mr.Jane, Noad</t>
  </si>
  <si>
    <t>Đã thanh toán</t>
  </si>
  <si>
    <t>đã xuất hóa đơn và thanh toán
1800000</t>
  </si>
  <si>
    <t>Phủ Thượng Đoạn - Nam Thiện</t>
  </si>
  <si>
    <t>Ms.Lasa</t>
  </si>
  <si>
    <t>Minato HP - Power Loong, Hải Dương - Sân bay CB</t>
  </si>
  <si>
    <t>ỨNG TIỀN 5TR</t>
  </si>
  <si>
    <t>Còn Lại</t>
  </si>
  <si>
    <t>Tên Khách Hàng: Khách lẻ</t>
  </si>
  <si>
    <t>An Đồng - Kinh Môn - Tiên Lãng</t>
  </si>
  <si>
    <t>a Huy Sửa Xe</t>
  </si>
  <si>
    <t>Sân bay Nội Bài - Minato</t>
  </si>
  <si>
    <t>Minato - Sân bay Cát Bi</t>
  </si>
  <si>
    <t>Mr.Vinh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</si>
</sst>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dd\/mm\/yyyy"/>
    <numFmt numFmtId="165" formatCode="#,##0&quot;km&quot;"/>
    <numFmt numFmtId="166" formatCode="#,##0\ &quot;đ&quot;"/>
    <numFmt numFmtId="167" formatCode="#,##0\ &quot;km&quot;"/>
    <numFmt numFmtId="168" formatCode="mm/yyyy"/>
    <numFmt numFmtId="169" formatCode="_(* #,##0_);_(* \(#,##0\);_(* &quot;-&quot;??_);_(@_)"/>
  </numFmts>
  <fonts count="19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Times New Roman"/>
      <family val="1"/>
    </font>
    <font>
      <sz val="10"/>
      <name val="Times New Roman"/>
      <family val="1"/>
    </font>
    <font>
      <b/>
      <sz val="15"/>
      <color theme="1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2060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2"/>
      <name val="Times New Roman"/>
      <family val="1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13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1" applyFont="1"/>
    <xf numFmtId="0" fontId="3" fillId="0" borderId="0" xfId="1" applyFont="1"/>
    <xf numFmtId="3" fontId="3" fillId="0" borderId="0" xfId="1" applyNumberFormat="1" applyFont="1"/>
    <xf numFmtId="0" fontId="4" fillId="0" borderId="0" xfId="1" applyFont="1"/>
    <xf numFmtId="0" fontId="6" fillId="0" borderId="0" xfId="1" applyFont="1"/>
    <xf numFmtId="0" fontId="7" fillId="0" borderId="2" xfId="1" applyFont="1" applyBorder="1" applyAlignment="1">
      <alignment horizontal="center" vertical="center" wrapText="1"/>
    </xf>
    <xf numFmtId="3" fontId="7" fillId="0" borderId="2" xfId="1" applyNumberFormat="1" applyFont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164" fontId="9" fillId="0" borderId="3" xfId="1" applyNumberFormat="1" applyFont="1" applyBorder="1" applyAlignment="1">
      <alignment horizontal="center" vertical="center"/>
    </xf>
    <xf numFmtId="20" fontId="9" fillId="0" borderId="4" xfId="1" applyNumberFormat="1" applyFont="1" applyBorder="1" applyAlignment="1">
      <alignment horizontal="center" vertical="center"/>
    </xf>
    <xf numFmtId="3" fontId="9" fillId="0" borderId="4" xfId="1" applyNumberFormat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165" fontId="9" fillId="0" borderId="2" xfId="1" applyNumberFormat="1" applyFont="1" applyBorder="1" applyAlignment="1">
      <alignment horizontal="center" vertical="center"/>
    </xf>
    <xf numFmtId="166" fontId="9" fillId="0" borderId="2" xfId="1" applyNumberFormat="1" applyFont="1" applyBorder="1" applyAlignment="1">
      <alignment horizontal="right" vertical="center"/>
    </xf>
    <xf numFmtId="0" fontId="9" fillId="0" borderId="5" xfId="1" applyFont="1" applyBorder="1" applyAlignment="1">
      <alignment horizontal="center" vertical="center"/>
    </xf>
    <xf numFmtId="0" fontId="9" fillId="2" borderId="5" xfId="1" applyFont="1" applyFill="1" applyBorder="1" applyAlignment="1">
      <alignment horizontal="center" vertical="center"/>
    </xf>
    <xf numFmtId="164" fontId="9" fillId="0" borderId="5" xfId="1" applyNumberFormat="1" applyFont="1" applyBorder="1" applyAlignment="1">
      <alignment horizontal="right"/>
    </xf>
    <xf numFmtId="3" fontId="9" fillId="0" borderId="2" xfId="1" applyNumberFormat="1" applyFont="1" applyBorder="1" applyAlignment="1">
      <alignment horizontal="center" vertical="center"/>
    </xf>
    <xf numFmtId="164" fontId="9" fillId="2" borderId="5" xfId="1" applyNumberFormat="1" applyFont="1" applyFill="1" applyBorder="1" applyAlignment="1">
      <alignment horizontal="right"/>
    </xf>
    <xf numFmtId="0" fontId="9" fillId="2" borderId="2" xfId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right"/>
    </xf>
    <xf numFmtId="167" fontId="9" fillId="0" borderId="2" xfId="1" applyNumberFormat="1" applyFont="1" applyBorder="1" applyAlignment="1">
      <alignment horizontal="center" vertical="center"/>
    </xf>
    <xf numFmtId="166" fontId="10" fillId="0" borderId="6" xfId="0" applyNumberFormat="1" applyFont="1" applyBorder="1" applyAlignment="1">
      <alignment horizontal="right" vertical="center"/>
    </xf>
    <xf numFmtId="0" fontId="11" fillId="0" borderId="2" xfId="0" applyFont="1" applyBorder="1" applyAlignment="1">
      <alignment horizontal="center" vertical="center"/>
    </xf>
    <xf numFmtId="14" fontId="11" fillId="0" borderId="6" xfId="0" applyNumberFormat="1" applyFont="1" applyBorder="1" applyAlignment="1">
      <alignment horizontal="right"/>
    </xf>
    <xf numFmtId="0" fontId="11" fillId="0" borderId="2" xfId="1" applyFont="1" applyBorder="1" applyAlignment="1">
      <alignment horizontal="center" vertical="center"/>
    </xf>
    <xf numFmtId="3" fontId="11" fillId="0" borderId="2" xfId="1" applyNumberFormat="1" applyFont="1" applyBorder="1" applyAlignment="1">
      <alignment horizontal="center" vertical="center"/>
    </xf>
    <xf numFmtId="167" fontId="11" fillId="0" borderId="2" xfId="1" applyNumberFormat="1" applyFont="1" applyBorder="1" applyAlignment="1">
      <alignment horizontal="center" vertical="center"/>
    </xf>
    <xf numFmtId="166" fontId="11" fillId="0" borderId="6" xfId="0" applyNumberFormat="1" applyFont="1" applyBorder="1" applyAlignment="1">
      <alignment horizontal="right" vertical="center"/>
    </xf>
    <xf numFmtId="14" fontId="11" fillId="0" borderId="6" xfId="0" applyNumberFormat="1" applyFont="1" applyBorder="1" applyAlignment="1">
      <alignment horizontal="right" vertical="center"/>
    </xf>
    <xf numFmtId="167" fontId="12" fillId="0" borderId="9" xfId="1" applyNumberFormat="1" applyFont="1" applyBorder="1" applyAlignment="1">
      <alignment horizontal="center" vertical="center"/>
    </xf>
    <xf numFmtId="166" fontId="12" fillId="0" borderId="2" xfId="1" applyNumberFormat="1" applyFont="1" applyBorder="1" applyAlignment="1">
      <alignment horizontal="right" vertical="center"/>
    </xf>
    <xf numFmtId="0" fontId="3" fillId="0" borderId="0" xfId="1" applyFont="1" applyAlignment="1">
      <alignment horizontal="center" wrapText="1"/>
    </xf>
    <xf numFmtId="3" fontId="3" fillId="0" borderId="0" xfId="1" applyNumberFormat="1" applyFont="1" applyAlignment="1">
      <alignment horizontal="center" wrapText="1"/>
    </xf>
    <xf numFmtId="3" fontId="3" fillId="0" borderId="0" xfId="1" applyNumberFormat="1" applyFont="1" applyAlignment="1">
      <alignment horizontal="center" wrapText="1"/>
    </xf>
    <xf numFmtId="0" fontId="9" fillId="0" borderId="3" xfId="1" applyFont="1" applyBorder="1" applyAlignment="1">
      <alignment horizontal="center" vertical="center" wrapText="1"/>
    </xf>
    <xf numFmtId="20" fontId="9" fillId="0" borderId="2" xfId="1" applyNumberFormat="1" applyFont="1" applyBorder="1" applyAlignment="1">
      <alignment horizontal="center" vertical="center"/>
    </xf>
    <xf numFmtId="3" fontId="3" fillId="0" borderId="0" xfId="1" applyNumberFormat="1" applyFont="1" applyAlignment="1">
      <alignment horizontal="center" wrapText="1"/>
    </xf>
    <xf numFmtId="16" fontId="9" fillId="2" borderId="3" xfId="1" applyNumberFormat="1" applyFont="1" applyFill="1" applyBorder="1" applyAlignment="1">
      <alignment horizontal="center" vertical="center"/>
    </xf>
    <xf numFmtId="3" fontId="3" fillId="0" borderId="0" xfId="1" applyNumberFormat="1" applyFont="1" applyAlignment="1">
      <alignment horizontal="center" wrapText="1"/>
    </xf>
    <xf numFmtId="164" fontId="9" fillId="0" borderId="5" xfId="1" applyNumberFormat="1" applyFont="1" applyBorder="1" applyAlignment="1">
      <alignment horizontal="center" vertical="center"/>
    </xf>
    <xf numFmtId="20" fontId="9" fillId="2" borderId="2" xfId="1" applyNumberFormat="1" applyFont="1" applyFill="1" applyBorder="1" applyAlignment="1">
      <alignment horizontal="center" vertical="center"/>
    </xf>
    <xf numFmtId="20" fontId="9" fillId="0" borderId="2" xfId="0" applyNumberFormat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 wrapText="1"/>
    </xf>
    <xf numFmtId="166" fontId="9" fillId="0" borderId="6" xfId="0" applyNumberFormat="1" applyFont="1" applyBorder="1" applyAlignment="1">
      <alignment horizontal="right" vertical="center"/>
    </xf>
    <xf numFmtId="164" fontId="9" fillId="2" borderId="5" xfId="1" applyNumberFormat="1" applyFont="1" applyFill="1" applyBorder="1" applyAlignment="1">
      <alignment horizontal="right" vertical="center"/>
    </xf>
    <xf numFmtId="14" fontId="9" fillId="0" borderId="6" xfId="0" applyNumberFormat="1" applyFont="1" applyBorder="1" applyAlignment="1">
      <alignment horizontal="right" vertical="center"/>
    </xf>
    <xf numFmtId="3" fontId="3" fillId="0" borderId="0" xfId="1" applyNumberFormat="1" applyFont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12" fillId="0" borderId="8" xfId="1" applyFont="1" applyBorder="1" applyAlignment="1">
      <alignment horizontal="right" vertical="center"/>
    </xf>
    <xf numFmtId="0" fontId="12" fillId="0" borderId="9" xfId="1" applyFont="1" applyBorder="1" applyAlignment="1">
      <alignment horizontal="right" vertical="center"/>
    </xf>
    <xf numFmtId="3" fontId="3" fillId="0" borderId="0" xfId="1" applyNumberFormat="1" applyFont="1" applyAlignment="1">
      <alignment horizontal="center" wrapText="1"/>
    </xf>
    <xf numFmtId="0" fontId="3" fillId="0" borderId="0" xfId="1" applyFont="1" applyAlignment="1">
      <alignment wrapText="1"/>
    </xf>
    <xf numFmtId="16" fontId="9" fillId="0" borderId="2" xfId="0" applyNumberFormat="1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9" fontId="0" fillId="0" borderId="2" xfId="2" applyNumberFormat="1" applyFont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3" fontId="3" fillId="0" borderId="0" xfId="1" applyNumberFormat="1" applyFont="1" applyAlignment="1">
      <alignment horizontal="center" wrapText="1"/>
    </xf>
    <xf numFmtId="0" fontId="14" fillId="0" borderId="0" xfId="1" applyFont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169" fontId="15" fillId="0" borderId="0" xfId="2" applyNumberFormat="1" applyFont="1"/>
    <xf numFmtId="0" fontId="5" fillId="0" borderId="0" xfId="1" applyFont="1" applyAlignment="1">
      <alignment horizontal="center"/>
    </xf>
    <xf numFmtId="0" fontId="5" fillId="0" borderId="1" xfId="1" applyFont="1" applyBorder="1" applyAlignment="1">
      <alignment horizontal="center"/>
    </xf>
    <xf numFmtId="168" fontId="5" fillId="0" borderId="0" xfId="1" applyNumberFormat="1" applyFont="1" applyAlignment="1">
      <alignment horizontal="center"/>
    </xf>
    <xf numFmtId="168" fontId="5" fillId="0" borderId="1" xfId="1" applyNumberFormat="1" applyFont="1" applyBorder="1" applyAlignment="1">
      <alignment horizontal="center"/>
    </xf>
    <xf numFmtId="3" fontId="3" fillId="0" borderId="0" xfId="1" applyNumberFormat="1" applyFont="1" applyAlignment="1">
      <alignment horizontal="center" wrapText="1"/>
    </xf>
    <xf numFmtId="0" fontId="12" fillId="0" borderId="7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7" xfId="1" applyFont="1" applyBorder="1" applyAlignment="1">
      <alignment horizontal="right" vertical="center"/>
    </xf>
    <xf numFmtId="0" fontId="12" fillId="0" borderId="8" xfId="1" applyFont="1" applyBorder="1" applyAlignment="1">
      <alignment horizontal="right" vertical="center"/>
    </xf>
    <xf numFmtId="0" fontId="12" fillId="0" borderId="9" xfId="1" applyFont="1" applyBorder="1" applyAlignment="1">
      <alignment horizontal="right" vertical="center"/>
    </xf>
    <xf numFmtId="169" fontId="16" fillId="0" borderId="2" xfId="2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169" fontId="18" fillId="0" borderId="7" xfId="2" applyNumberFormat="1" applyFont="1" applyBorder="1" applyAlignment="1">
      <alignment horizontal="center" vertical="center"/>
    </xf>
    <xf numFmtId="169" fontId="18" fillId="0" borderId="9" xfId="2" applyNumberFormat="1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 2" xfId="1" xr:uid="{18A72094-E51D-4888-AB7C-78233BC793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86472</xdr:colOff>
      <xdr:row>0</xdr:row>
      <xdr:rowOff>150091</xdr:rowOff>
    </xdr:from>
    <xdr:to>
      <xdr:col>5</xdr:col>
      <xdr:colOff>392206</xdr:colOff>
      <xdr:row>6</xdr:row>
      <xdr:rowOff>11205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C54CC17-B493-4CF5-88C5-C507DB2E8EAD}"/>
            </a:ext>
          </a:extLst>
        </xdr:cNvPr>
        <xdr:cNvSpPr txBox="1"/>
      </xdr:nvSpPr>
      <xdr:spPr>
        <a:xfrm>
          <a:off x="86472" y="150091"/>
          <a:ext cx="7620934" cy="10707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CÔNG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TY TNHH DỊCH VỤ VẬN TẢI MẠNH VIỆT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vi-VN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MS: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0202315429</a:t>
          </a:r>
          <a:r>
            <a:rPr lang="vi-VN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vi-VN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ĐỊA CHỈ: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Số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44 Quán Trữ, Phường Kiến An, Thành Phố Hải Phòng, Việt Nam</a:t>
          </a:r>
          <a:r>
            <a:rPr lang="vi-VN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vi-VN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ĐT: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0915 12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13 18</a:t>
          </a:r>
          <a:r>
            <a:rPr lang="vi-VN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 editAs="oneCell">
    <xdr:from>
      <xdr:col>8</xdr:col>
      <xdr:colOff>535781</xdr:colOff>
      <xdr:row>0</xdr:row>
      <xdr:rowOff>0</xdr:rowOff>
    </xdr:from>
    <xdr:to>
      <xdr:col>10</xdr:col>
      <xdr:colOff>1368208</xdr:colOff>
      <xdr:row>8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032C249-25C3-460F-9C71-6A8CAA0DD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4594" y="0"/>
          <a:ext cx="2415958" cy="18692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86472</xdr:colOff>
      <xdr:row>0</xdr:row>
      <xdr:rowOff>150091</xdr:rowOff>
    </xdr:from>
    <xdr:to>
      <xdr:col>5</xdr:col>
      <xdr:colOff>392206</xdr:colOff>
      <xdr:row>6</xdr:row>
      <xdr:rowOff>11205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0C7130-01EE-4A37-B9BE-7A031DB239EA}"/>
            </a:ext>
          </a:extLst>
        </xdr:cNvPr>
        <xdr:cNvSpPr txBox="1"/>
      </xdr:nvSpPr>
      <xdr:spPr>
        <a:xfrm>
          <a:off x="86472" y="150091"/>
          <a:ext cx="7963834" cy="10707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CÔNG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TY TNHH DỊCH VỤ VẬN TẢI MẠNH VIỆT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vi-VN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MS: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0202315429</a:t>
          </a:r>
          <a:r>
            <a:rPr lang="vi-VN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vi-VN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ĐỊA CHỈ: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Số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44 Quán Trữ, Phường Kiến An, Thành Phố Hải Phòng, Việt Nam</a:t>
          </a:r>
          <a:r>
            <a:rPr lang="vi-VN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vi-VN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ĐT: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0915 12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13 18</a:t>
          </a:r>
          <a:r>
            <a:rPr lang="vi-VN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 editAs="oneCell">
    <xdr:from>
      <xdr:col>8</xdr:col>
      <xdr:colOff>583406</xdr:colOff>
      <xdr:row>0</xdr:row>
      <xdr:rowOff>0</xdr:rowOff>
    </xdr:from>
    <xdr:to>
      <xdr:col>11</xdr:col>
      <xdr:colOff>22802</xdr:colOff>
      <xdr:row>8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A857C0-FE90-4446-906F-4EE72E8DD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5606" y="0"/>
          <a:ext cx="2411196" cy="1847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86472</xdr:colOff>
      <xdr:row>0</xdr:row>
      <xdr:rowOff>150091</xdr:rowOff>
    </xdr:from>
    <xdr:to>
      <xdr:col>5</xdr:col>
      <xdr:colOff>392206</xdr:colOff>
      <xdr:row>6</xdr:row>
      <xdr:rowOff>11205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A965042-35B4-446C-82E1-37BA1AA4A2E0}"/>
            </a:ext>
          </a:extLst>
        </xdr:cNvPr>
        <xdr:cNvSpPr txBox="1"/>
      </xdr:nvSpPr>
      <xdr:spPr>
        <a:xfrm>
          <a:off x="86472" y="150091"/>
          <a:ext cx="7620934" cy="10707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CÔNG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TY TNHH DỊCH VỤ VẬN TẢI MẠNH VIỆT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vi-VN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MS: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0202315429</a:t>
          </a:r>
          <a:r>
            <a:rPr lang="vi-VN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vi-VN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ĐỊA CHỈ: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Số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44 Quán Trữ, Phường Kiến An, Thành Phố Hải Phòng, Việt Nam</a:t>
          </a:r>
          <a:r>
            <a:rPr lang="vi-VN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vi-VN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ĐT: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0915 12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13 18</a:t>
          </a:r>
          <a:r>
            <a:rPr lang="vi-VN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 editAs="oneCell">
    <xdr:from>
      <xdr:col>8</xdr:col>
      <xdr:colOff>583406</xdr:colOff>
      <xdr:row>0</xdr:row>
      <xdr:rowOff>0</xdr:rowOff>
    </xdr:from>
    <xdr:to>
      <xdr:col>11</xdr:col>
      <xdr:colOff>22802</xdr:colOff>
      <xdr:row>8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ACE78FF-A32E-4F17-BAAF-029DD0F63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46506" y="0"/>
          <a:ext cx="2411196" cy="1847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86472</xdr:colOff>
      <xdr:row>0</xdr:row>
      <xdr:rowOff>150091</xdr:rowOff>
    </xdr:from>
    <xdr:to>
      <xdr:col>5</xdr:col>
      <xdr:colOff>392206</xdr:colOff>
      <xdr:row>6</xdr:row>
      <xdr:rowOff>11205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08A8D70-DF9C-479E-8C8B-4FDD65F2AAEF}"/>
            </a:ext>
          </a:extLst>
        </xdr:cNvPr>
        <xdr:cNvSpPr txBox="1"/>
      </xdr:nvSpPr>
      <xdr:spPr>
        <a:xfrm>
          <a:off x="86472" y="150091"/>
          <a:ext cx="7620934" cy="10707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CÔNG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TY TNHH DỊCH VỤ VẬN TẢI MẠNH VIỆT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vi-VN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MS: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0202315429</a:t>
          </a:r>
          <a:r>
            <a:rPr lang="vi-VN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vi-VN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ĐỊA CHỈ: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Số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44 Quán Trữ, Phường Kiến An, Thành Phố Hải Phòng, Việt Nam</a:t>
          </a:r>
          <a:r>
            <a:rPr lang="vi-VN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vi-VN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ĐT: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0915 12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13 18</a:t>
          </a:r>
          <a:r>
            <a:rPr lang="vi-VN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 editAs="oneCell">
    <xdr:from>
      <xdr:col>8</xdr:col>
      <xdr:colOff>583406</xdr:colOff>
      <xdr:row>0</xdr:row>
      <xdr:rowOff>0</xdr:rowOff>
    </xdr:from>
    <xdr:to>
      <xdr:col>11</xdr:col>
      <xdr:colOff>22802</xdr:colOff>
      <xdr:row>8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7A9D4F-DA61-46CB-8F5C-43727870B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46506" y="0"/>
          <a:ext cx="2411196" cy="1847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86472</xdr:colOff>
      <xdr:row>0</xdr:row>
      <xdr:rowOff>150091</xdr:rowOff>
    </xdr:from>
    <xdr:to>
      <xdr:col>5</xdr:col>
      <xdr:colOff>392206</xdr:colOff>
      <xdr:row>6</xdr:row>
      <xdr:rowOff>11205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8D9FF48-C07F-469C-A1AE-C76123086234}"/>
            </a:ext>
          </a:extLst>
        </xdr:cNvPr>
        <xdr:cNvSpPr txBox="1"/>
      </xdr:nvSpPr>
      <xdr:spPr>
        <a:xfrm>
          <a:off x="86472" y="150091"/>
          <a:ext cx="7963834" cy="10707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CÔNG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TY TNHH DỊCH VỤ VẬN TẢI MẠNH VIỆT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vi-VN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MS: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0202315429</a:t>
          </a:r>
          <a:r>
            <a:rPr lang="vi-VN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vi-VN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ĐỊA CHỈ: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Số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44 Quán Trữ, Phường Kiến An, Thành Phố Hải Phòng, Việt Nam</a:t>
          </a:r>
          <a:r>
            <a:rPr lang="vi-VN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vi-VN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ĐT: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0915 12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13 18</a:t>
          </a:r>
          <a:r>
            <a:rPr lang="vi-VN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>
    <xdr:from>
      <xdr:col>1</xdr:col>
      <xdr:colOff>23812</xdr:colOff>
      <xdr:row>14</xdr:row>
      <xdr:rowOff>71437</xdr:rowOff>
    </xdr:from>
    <xdr:to>
      <xdr:col>11</xdr:col>
      <xdr:colOff>0</xdr:colOff>
      <xdr:row>19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D3B90B2-8312-4E3E-9491-63A694E1F3C1}"/>
            </a:ext>
          </a:extLst>
        </xdr:cNvPr>
        <xdr:cNvCxnSpPr/>
      </xdr:nvCxnSpPr>
      <xdr:spPr>
        <a:xfrm>
          <a:off x="440531" y="4071937"/>
          <a:ext cx="12513469" cy="16549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583406</xdr:colOff>
      <xdr:row>0</xdr:row>
      <xdr:rowOff>0</xdr:rowOff>
    </xdr:from>
    <xdr:to>
      <xdr:col>11</xdr:col>
      <xdr:colOff>22802</xdr:colOff>
      <xdr:row>8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F0EA95F-0C4A-D1E6-27A1-C8F85AA63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0844" y="0"/>
          <a:ext cx="2415958" cy="18692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86472</xdr:colOff>
      <xdr:row>0</xdr:row>
      <xdr:rowOff>150091</xdr:rowOff>
    </xdr:from>
    <xdr:to>
      <xdr:col>5</xdr:col>
      <xdr:colOff>392206</xdr:colOff>
      <xdr:row>6</xdr:row>
      <xdr:rowOff>11205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628310E-2A70-4379-B44B-1B3183F35930}"/>
            </a:ext>
          </a:extLst>
        </xdr:cNvPr>
        <xdr:cNvSpPr txBox="1"/>
      </xdr:nvSpPr>
      <xdr:spPr>
        <a:xfrm>
          <a:off x="86472" y="150091"/>
          <a:ext cx="7678084" cy="10707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CÔNG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TY TNHH DỊCH VỤ VẬN TẢI MẠNH VIỆT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vi-VN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MS: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0202315429</a:t>
          </a:r>
          <a:r>
            <a:rPr lang="vi-VN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vi-VN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ĐỊA CHỈ: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Số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44 Quán Trữ, Phường Kiến An, Thành Phố Hải Phòng, Việt Nam</a:t>
          </a:r>
          <a:r>
            <a:rPr lang="vi-VN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vi-VN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ĐT: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0915 12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13 18</a:t>
          </a:r>
          <a:r>
            <a:rPr lang="vi-VN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 editAs="oneCell">
    <xdr:from>
      <xdr:col>8</xdr:col>
      <xdr:colOff>583406</xdr:colOff>
      <xdr:row>0</xdr:row>
      <xdr:rowOff>0</xdr:rowOff>
    </xdr:from>
    <xdr:to>
      <xdr:col>11</xdr:col>
      <xdr:colOff>22802</xdr:colOff>
      <xdr:row>8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7ECDB1-5B5E-4B43-9A16-AFC9C197A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03656" y="0"/>
          <a:ext cx="2411196" cy="1847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86472</xdr:colOff>
      <xdr:row>0</xdr:row>
      <xdr:rowOff>150091</xdr:rowOff>
    </xdr:from>
    <xdr:to>
      <xdr:col>5</xdr:col>
      <xdr:colOff>392206</xdr:colOff>
      <xdr:row>6</xdr:row>
      <xdr:rowOff>11205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097AB4-2129-4BCC-A6D4-A20459737A10}"/>
            </a:ext>
          </a:extLst>
        </xdr:cNvPr>
        <xdr:cNvSpPr txBox="1"/>
      </xdr:nvSpPr>
      <xdr:spPr>
        <a:xfrm>
          <a:off x="86472" y="150091"/>
          <a:ext cx="7620934" cy="10707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CÔNG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TY TNHH DỊCH VỤ VẬN TẢI MẠNH VIỆT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vi-VN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MS: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0202315429</a:t>
          </a:r>
          <a:r>
            <a:rPr lang="vi-VN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vi-VN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ĐỊA CHỈ: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Số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44 Quán Trữ, Phường Kiến An, Thành Phố Hải Phòng, Việt Nam</a:t>
          </a:r>
          <a:r>
            <a:rPr lang="vi-VN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vi-VN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ĐT: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0915 12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13 18</a:t>
          </a:r>
          <a:r>
            <a:rPr lang="vi-VN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 editAs="oneCell">
    <xdr:from>
      <xdr:col>8</xdr:col>
      <xdr:colOff>583406</xdr:colOff>
      <xdr:row>0</xdr:row>
      <xdr:rowOff>0</xdr:rowOff>
    </xdr:from>
    <xdr:to>
      <xdr:col>11</xdr:col>
      <xdr:colOff>22802</xdr:colOff>
      <xdr:row>8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8507FC-5365-4EB1-BF6D-F0B30F421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46506" y="0"/>
          <a:ext cx="2411196" cy="1847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86472</xdr:colOff>
      <xdr:row>0</xdr:row>
      <xdr:rowOff>150091</xdr:rowOff>
    </xdr:from>
    <xdr:to>
      <xdr:col>5</xdr:col>
      <xdr:colOff>392206</xdr:colOff>
      <xdr:row>6</xdr:row>
      <xdr:rowOff>11205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77634E0-996E-4692-BAAF-139367E1767A}"/>
            </a:ext>
          </a:extLst>
        </xdr:cNvPr>
        <xdr:cNvSpPr txBox="1"/>
      </xdr:nvSpPr>
      <xdr:spPr>
        <a:xfrm>
          <a:off x="86472" y="150091"/>
          <a:ext cx="7963834" cy="10707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CÔNG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TY TNHH DỊCH VỤ VẬN TẢI MẠNH VIỆT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vi-VN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MS: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0202315429</a:t>
          </a:r>
          <a:r>
            <a:rPr lang="vi-VN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vi-VN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ĐỊA CHỈ: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Số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44 Quán Trữ, Phường Kiến An, Thành Phố Hải Phòng, Việt Nam</a:t>
          </a:r>
          <a:r>
            <a:rPr lang="vi-VN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vi-VN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ĐT: 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0915 12</a:t>
          </a:r>
          <a:r>
            <a:rPr lang="en-US" sz="1200" b="1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13 18</a:t>
          </a:r>
          <a:r>
            <a:rPr lang="vi-VN" sz="12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>
    <xdr:from>
      <xdr:col>1</xdr:col>
      <xdr:colOff>35718</xdr:colOff>
      <xdr:row>13</xdr:row>
      <xdr:rowOff>23813</xdr:rowOff>
    </xdr:from>
    <xdr:to>
      <xdr:col>11</xdr:col>
      <xdr:colOff>0</xdr:colOff>
      <xdr:row>19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DDB8095-9308-40D6-8966-EBFA70AFD899}"/>
            </a:ext>
          </a:extLst>
        </xdr:cNvPr>
        <xdr:cNvCxnSpPr/>
      </xdr:nvCxnSpPr>
      <xdr:spPr>
        <a:xfrm>
          <a:off x="454818" y="3652838"/>
          <a:ext cx="12499182" cy="203358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583406</xdr:colOff>
      <xdr:row>0</xdr:row>
      <xdr:rowOff>0</xdr:rowOff>
    </xdr:from>
    <xdr:to>
      <xdr:col>11</xdr:col>
      <xdr:colOff>22802</xdr:colOff>
      <xdr:row>8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14AE48-CC40-4555-8B3F-585D95900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5606" y="0"/>
          <a:ext cx="2411196" cy="18478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ocuments/Zalo%20Received%20Files/V&#360;%20GIA%202018/2019/THEO%20D&#213;I%20M&#7898;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i&#7845;y%20Thanh%20To&#225;n\Th&#225;ng%2003%202022\KHACH%20LE%20NO%20TONG%20HOP%20MO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DN"/>
      <sheetName val="LOAI"/>
      <sheetName val="DMPT"/>
      <sheetName val="DMKH"/>
      <sheetName val="LICH"/>
      <sheetName val="CHIPHI"/>
      <sheetName val="DOANHTHU"/>
      <sheetName val="THUTIEN"/>
      <sheetName val="Sheet1"/>
      <sheetName val="BCCPDT"/>
      <sheetName val="BẢNG KÊ"/>
      <sheetName val="MAYA"/>
      <sheetName val="Sheet2"/>
      <sheetName val="Sheet3"/>
    </sheetNames>
    <sheetDataSet>
      <sheetData sheetId="0"/>
      <sheetData sheetId="1"/>
      <sheetData sheetId="2">
        <row r="3">
          <cell r="A3" t="str">
            <v>15A 38190</v>
          </cell>
          <cell r="B3" t="str">
            <v>Nguyễn Minh Đức ( 7 chỗ )</v>
          </cell>
        </row>
        <row r="4">
          <cell r="A4" t="str">
            <v>15A 26643</v>
          </cell>
          <cell r="B4" t="str">
            <v>Vũ Minh Tuấn</v>
          </cell>
        </row>
        <row r="5">
          <cell r="A5" t="str">
            <v>15A 32048</v>
          </cell>
          <cell r="B5" t="str">
            <v>Nguyễn Hữu Thanh</v>
          </cell>
        </row>
        <row r="6">
          <cell r="A6" t="str">
            <v>15B 00577</v>
          </cell>
          <cell r="B6" t="str">
            <v>Bùi Tiến Lợi</v>
          </cell>
        </row>
        <row r="7">
          <cell r="A7" t="str">
            <v>15B 04157</v>
          </cell>
          <cell r="B7" t="str">
            <v>Trần Văn Lâm ( 29 )</v>
          </cell>
        </row>
        <row r="8">
          <cell r="A8" t="str">
            <v>15A 07541</v>
          </cell>
          <cell r="B8" t="str">
            <v>Đinh Văn Hùng</v>
          </cell>
        </row>
        <row r="9">
          <cell r="A9" t="str">
            <v>15A 30823</v>
          </cell>
          <cell r="B9" t="str">
            <v>Vũ văn Hùng</v>
          </cell>
        </row>
        <row r="10">
          <cell r="A10" t="str">
            <v>15A 51299</v>
          </cell>
          <cell r="B10" t="str">
            <v>Lê Phương Tùng</v>
          </cell>
        </row>
        <row r="11">
          <cell r="A11" t="str">
            <v>15A 45827</v>
          </cell>
          <cell r="B11" t="str">
            <v>Phạm Văn Hạ</v>
          </cell>
        </row>
        <row r="12">
          <cell r="A12" t="str">
            <v>15B 01140</v>
          </cell>
          <cell r="B12" t="str">
            <v>Phạm Văn Dũng</v>
          </cell>
        </row>
        <row r="13">
          <cell r="A13" t="str">
            <v>15B 04338</v>
          </cell>
          <cell r="B13" t="str">
            <v>Vũ Văn Bình</v>
          </cell>
        </row>
        <row r="14">
          <cell r="A14" t="str">
            <v>15B 02166</v>
          </cell>
          <cell r="B14" t="str">
            <v>Nguyễn Văn Hợp</v>
          </cell>
        </row>
        <row r="15">
          <cell r="A15" t="str">
            <v>15B 00802</v>
          </cell>
          <cell r="B15" t="str">
            <v>Nguyễn Hoàng Giang</v>
          </cell>
        </row>
        <row r="16">
          <cell r="A16" t="str">
            <v>15A 29462</v>
          </cell>
          <cell r="B16" t="str">
            <v>Nguyễn Văn Tuệ NB</v>
          </cell>
        </row>
        <row r="17">
          <cell r="A17" t="str">
            <v>15B 02014</v>
          </cell>
          <cell r="B17" t="str">
            <v>Đỗ Văn Cương</v>
          </cell>
        </row>
        <row r="18">
          <cell r="A18" t="str">
            <v>15A 51389</v>
          </cell>
          <cell r="B18" t="str">
            <v>Nguyễn Thế Trung</v>
          </cell>
        </row>
        <row r="19">
          <cell r="A19" t="str">
            <v>15A 43860</v>
          </cell>
          <cell r="B19" t="str">
            <v>Nguyễn Hoàng Hà</v>
          </cell>
        </row>
        <row r="20">
          <cell r="A20" t="str">
            <v>15A 01282</v>
          </cell>
          <cell r="B20" t="str">
            <v>Phạm Văn Tình TQ</v>
          </cell>
        </row>
        <row r="21">
          <cell r="A21" t="str">
            <v>15A 018533</v>
          </cell>
          <cell r="B21" t="str">
            <v>Nguyễn Hoàng Huy TQ</v>
          </cell>
        </row>
        <row r="22">
          <cell r="A22" t="str">
            <v>15A 31455</v>
          </cell>
          <cell r="B22" t="str">
            <v>Đỗ Văn Tiến</v>
          </cell>
        </row>
        <row r="23">
          <cell r="A23" t="str">
            <v>15A 54403</v>
          </cell>
          <cell r="B23" t="str">
            <v>Phạm Văn Hiển</v>
          </cell>
        </row>
        <row r="24">
          <cell r="A24" t="str">
            <v>15A 64771</v>
          </cell>
          <cell r="B24" t="str">
            <v>Nguyễn Đức Lâm ( 4 )</v>
          </cell>
        </row>
        <row r="25">
          <cell r="A25" t="str">
            <v>15A 32266</v>
          </cell>
          <cell r="B25" t="str">
            <v>Nguyễn Huy Tưởng NB</v>
          </cell>
        </row>
        <row r="26">
          <cell r="A26" t="str">
            <v>15A 47217</v>
          </cell>
          <cell r="B26" t="str">
            <v>Trần Công Thanh NB</v>
          </cell>
        </row>
        <row r="27">
          <cell r="A27" t="str">
            <v>15F 00069</v>
          </cell>
          <cell r="B27" t="str">
            <v>Hoàng Văn Lúy</v>
          </cell>
        </row>
        <row r="28">
          <cell r="A28">
            <v>0</v>
          </cell>
          <cell r="B28" t="str">
            <v>Nguyễn Minh Đức ( 29 chỗ )</v>
          </cell>
        </row>
        <row r="29">
          <cell r="A29">
            <v>0</v>
          </cell>
          <cell r="B29" t="str">
            <v>Trần Kiên Cường 29 chỗ</v>
          </cell>
        </row>
        <row r="30">
          <cell r="A30">
            <v>0</v>
          </cell>
          <cell r="B30" t="str">
            <v>Nguyễn Hồng Kỳ</v>
          </cell>
        </row>
        <row r="31">
          <cell r="A31">
            <v>0</v>
          </cell>
          <cell r="B31" t="str">
            <v>Ngô Văn Lưu</v>
          </cell>
        </row>
        <row r="32">
          <cell r="A32">
            <v>0</v>
          </cell>
          <cell r="B32" t="str">
            <v>Vũ Phú Toàn</v>
          </cell>
        </row>
        <row r="33">
          <cell r="A33">
            <v>0</v>
          </cell>
          <cell r="B33" t="str">
            <v>Vũ Phú Thư</v>
          </cell>
        </row>
        <row r="34">
          <cell r="A34" t="str">
            <v>CPVP</v>
          </cell>
          <cell r="B34" t="str">
            <v>Lương Thị Vân</v>
          </cell>
        </row>
        <row r="35">
          <cell r="A35" t="str">
            <v>TN1</v>
          </cell>
          <cell r="B35" t="str">
            <v>Thuyết</v>
          </cell>
        </row>
        <row r="36">
          <cell r="A36" t="str">
            <v>TN2</v>
          </cell>
          <cell r="B36" t="str">
            <v>Kiến An</v>
          </cell>
        </row>
        <row r="37">
          <cell r="A37" t="str">
            <v>TN3</v>
          </cell>
          <cell r="B37" t="str">
            <v>Tùng mắt to</v>
          </cell>
        </row>
        <row r="38">
          <cell r="A38" t="str">
            <v>TN4</v>
          </cell>
          <cell r="B38" t="str">
            <v>Thành XN</v>
          </cell>
        </row>
        <row r="39">
          <cell r="A39" t="str">
            <v>TN5</v>
          </cell>
          <cell r="B39" t="str">
            <v>Xuân XN</v>
          </cell>
        </row>
        <row r="40">
          <cell r="A40" t="str">
            <v>TN6</v>
          </cell>
          <cell r="B40" t="str">
            <v>Hưng XN</v>
          </cell>
        </row>
        <row r="41">
          <cell r="A41" t="str">
            <v>TN7</v>
          </cell>
          <cell r="B41" t="str">
            <v>Đô 04350</v>
          </cell>
        </row>
        <row r="42">
          <cell r="A42" t="str">
            <v>TN8</v>
          </cell>
          <cell r="B42" t="str">
            <v>Thanh Tùng</v>
          </cell>
        </row>
        <row r="43">
          <cell r="A43" t="str">
            <v>TN9</v>
          </cell>
          <cell r="B43" t="str">
            <v>Phong XN</v>
          </cell>
        </row>
        <row r="44">
          <cell r="A44" t="str">
            <v>TN10</v>
          </cell>
          <cell r="B44" t="str">
            <v>Nhã XN</v>
          </cell>
        </row>
        <row r="45">
          <cell r="A45" t="str">
            <v>TN11</v>
          </cell>
          <cell r="B45" t="str">
            <v>Hoàng Béo</v>
          </cell>
        </row>
        <row r="46">
          <cell r="A46" t="str">
            <v>TN12</v>
          </cell>
          <cell r="B46" t="str">
            <v>Công thành ( con chú Thanh )</v>
          </cell>
        </row>
        <row r="47">
          <cell r="A47">
            <v>0</v>
          </cell>
          <cell r="B47">
            <v>0</v>
          </cell>
        </row>
      </sheetData>
      <sheetData sheetId="3">
        <row r="3">
          <cell r="A3" t="str">
            <v>CTY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Khách Lẻ"/>
      <sheetName val="Ô Cao"/>
      <sheetName val="Leo Yến"/>
      <sheetName val="Cty Forturner"/>
      <sheetName val="Cương"/>
      <sheetName val="Khách Thảo"/>
      <sheetName val="K Lô 26"/>
      <sheetName val="Thư nợ"/>
      <sheetName val="Rich"/>
      <sheetName val="Cty MMA"/>
      <sheetName val="CBCNV-MMA"/>
      <sheetName val="Nợ Thư"/>
    </sheetNames>
    <sheetDataSet>
      <sheetData sheetId="0">
        <row r="2">
          <cell r="B2" t="str">
            <v>Hải Phòng - Hà Nội 2C</v>
          </cell>
        </row>
        <row r="3">
          <cell r="B3" t="str">
            <v>Viship - Cát Bi</v>
          </cell>
        </row>
        <row r="4">
          <cell r="B4" t="str">
            <v>Cát Bi - Hoàng Huy</v>
          </cell>
        </row>
        <row r="5">
          <cell r="B5" t="str">
            <v>HN 2C</v>
          </cell>
        </row>
        <row r="6">
          <cell r="B6" t="str">
            <v>Văn Cao -&gt; Cty Fortune 1C</v>
          </cell>
        </row>
        <row r="7">
          <cell r="B7" t="str">
            <v>Quán Nam - Fortune</v>
          </cell>
        </row>
        <row r="8">
          <cell r="B8" t="str">
            <v>Hải Phòng - Hà Nam 2 chiều</v>
          </cell>
        </row>
        <row r="9">
          <cell r="B9" t="str">
            <v>Đôn Niệm - An Lão 2c</v>
          </cell>
        </row>
        <row r="10">
          <cell r="B10" t="str">
            <v>DG-Trung Sơn</v>
          </cell>
        </row>
        <row r="11">
          <cell r="B11" t="str">
            <v>Trung Sơn - DG</v>
          </cell>
        </row>
        <row r="12">
          <cell r="B12" t="str">
            <v>Kiến An - Kiến Thụy</v>
          </cell>
        </row>
        <row r="13">
          <cell r="B13" t="str">
            <v>Đón ông Cao Nội Bài HP</v>
          </cell>
        </row>
      </sheetData>
      <sheetData sheetId="1"/>
      <sheetData sheetId="2">
        <row r="3">
          <cell r="A3">
            <v>44555</v>
          </cell>
        </row>
      </sheetData>
      <sheetData sheetId="3"/>
      <sheetData sheetId="4">
        <row r="3">
          <cell r="A3">
            <v>44926</v>
          </cell>
        </row>
      </sheetData>
      <sheetData sheetId="5"/>
      <sheetData sheetId="6">
        <row r="3">
          <cell r="A3">
            <v>44578</v>
          </cell>
        </row>
      </sheetData>
      <sheetData sheetId="7">
        <row r="3">
          <cell r="A3">
            <v>44444</v>
          </cell>
        </row>
      </sheetData>
      <sheetData sheetId="8"/>
      <sheetData sheetId="9">
        <row r="3">
          <cell r="A3">
            <v>44545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29B28-D9F2-4104-831E-BAF0F8FCE08A}">
  <sheetPr>
    <pageSetUpPr fitToPage="1"/>
  </sheetPr>
  <dimension ref="A1:K29"/>
  <sheetViews>
    <sheetView zoomScale="80" zoomScaleNormal="80" zoomScalePageLayoutView="110" workbookViewId="0">
      <selection activeCell="G12" sqref="G12"/>
    </sheetView>
  </sheetViews>
  <sheetFormatPr defaultColWidth="8.75" defaultRowHeight="12.75" x14ac:dyDescent="0.2"/>
  <cols>
    <col min="1" max="1" width="5.5" style="2" customWidth="1"/>
    <col min="2" max="2" width="53.25" style="2" bestFit="1" customWidth="1"/>
    <col min="3" max="3" width="14.75" style="2" customWidth="1"/>
    <col min="4" max="4" width="13.375" style="2" customWidth="1"/>
    <col min="5" max="6" width="11.75" style="2" customWidth="1"/>
    <col min="7" max="7" width="9.25" style="3" bestFit="1" customWidth="1"/>
    <col min="8" max="8" width="8.5" style="2" customWidth="1"/>
    <col min="9" max="9" width="11.5" style="2" bestFit="1" customWidth="1"/>
    <col min="10" max="10" width="9.25" style="2" customWidth="1"/>
    <col min="11" max="11" width="18.25" style="3" customWidth="1"/>
    <col min="12" max="12" width="27" style="2" customWidth="1"/>
    <col min="13" max="13" width="29.125" style="2" customWidth="1"/>
    <col min="14" max="16384" width="8.75" style="2"/>
  </cols>
  <sheetData>
    <row r="1" spans="1:11" ht="15.75" x14ac:dyDescent="0.25">
      <c r="A1" s="1"/>
    </row>
    <row r="2" spans="1:11" ht="15.75" x14ac:dyDescent="0.25">
      <c r="A2" s="1"/>
    </row>
    <row r="3" spans="1:11" ht="15.75" x14ac:dyDescent="0.25">
      <c r="A3" s="1"/>
    </row>
    <row r="4" spans="1:11" ht="15.75" x14ac:dyDescent="0.25">
      <c r="A4" s="1"/>
    </row>
    <row r="6" spans="1:11" ht="19.5" x14ac:dyDescent="0.3">
      <c r="D6" s="4" t="s">
        <v>0</v>
      </c>
      <c r="E6" s="4"/>
    </row>
    <row r="7" spans="1:11" ht="19.5" x14ac:dyDescent="0.3">
      <c r="D7" s="4" t="s">
        <v>1</v>
      </c>
      <c r="E7" s="4"/>
    </row>
    <row r="8" spans="1:11" ht="16.149999999999999" customHeight="1" x14ac:dyDescent="0.3">
      <c r="B8" s="69" t="s">
        <v>21</v>
      </c>
      <c r="C8" s="69"/>
      <c r="D8" s="69"/>
      <c r="E8" s="69"/>
      <c r="F8" s="5"/>
      <c r="G8" s="71">
        <v>45962</v>
      </c>
      <c r="H8" s="71"/>
    </row>
    <row r="9" spans="1:11" ht="18.75" x14ac:dyDescent="0.3">
      <c r="B9" s="70"/>
      <c r="C9" s="70"/>
      <c r="D9" s="70"/>
      <c r="E9" s="70"/>
      <c r="F9" s="5"/>
      <c r="G9" s="72"/>
      <c r="H9" s="72"/>
    </row>
    <row r="10" spans="1:11" ht="57" x14ac:dyDescent="0.2">
      <c r="A10" s="6" t="s">
        <v>2</v>
      </c>
      <c r="B10" s="6" t="s">
        <v>3</v>
      </c>
      <c r="C10" s="6" t="s">
        <v>4</v>
      </c>
      <c r="D10" s="6" t="s">
        <v>5</v>
      </c>
      <c r="E10" s="6" t="s">
        <v>6</v>
      </c>
      <c r="F10" s="6" t="s">
        <v>7</v>
      </c>
      <c r="G10" s="7" t="s">
        <v>8</v>
      </c>
      <c r="H10" s="6" t="s">
        <v>9</v>
      </c>
      <c r="I10" s="6" t="s">
        <v>10</v>
      </c>
      <c r="J10" s="6" t="s">
        <v>11</v>
      </c>
      <c r="K10" s="7" t="s">
        <v>12</v>
      </c>
    </row>
    <row r="11" spans="1:11" ht="27" customHeight="1" x14ac:dyDescent="0.2">
      <c r="A11" s="8">
        <v>1</v>
      </c>
      <c r="B11" s="40" t="s">
        <v>22</v>
      </c>
      <c r="C11" s="9" t="s">
        <v>23</v>
      </c>
      <c r="D11" s="10">
        <v>45948</v>
      </c>
      <c r="E11" s="11">
        <v>0.40625</v>
      </c>
      <c r="F11" s="11">
        <v>0.42708333333333331</v>
      </c>
      <c r="G11" s="12">
        <v>9000</v>
      </c>
      <c r="H11" s="13" t="s">
        <v>17</v>
      </c>
      <c r="I11" s="14" t="s">
        <v>18</v>
      </c>
      <c r="J11" s="15">
        <v>10</v>
      </c>
      <c r="K11" s="16">
        <v>200000</v>
      </c>
    </row>
    <row r="12" spans="1:11" ht="27" customHeight="1" x14ac:dyDescent="0.25">
      <c r="A12" s="8">
        <v>2</v>
      </c>
      <c r="B12" s="17" t="s">
        <v>24</v>
      </c>
      <c r="C12" s="9" t="s">
        <v>23</v>
      </c>
      <c r="D12" s="19">
        <v>45954</v>
      </c>
      <c r="E12" s="41">
        <v>0.38541666666666669</v>
      </c>
      <c r="F12" s="41">
        <v>0.40625</v>
      </c>
      <c r="G12" s="20"/>
      <c r="H12" s="14" t="s">
        <v>25</v>
      </c>
      <c r="I12" s="14" t="s">
        <v>18</v>
      </c>
      <c r="J12" s="15">
        <v>10</v>
      </c>
      <c r="K12" s="16">
        <v>300000</v>
      </c>
    </row>
    <row r="13" spans="1:11" ht="27" customHeight="1" x14ac:dyDescent="0.25">
      <c r="A13" s="8">
        <v>3</v>
      </c>
      <c r="B13" s="17" t="s">
        <v>64</v>
      </c>
      <c r="C13" s="59" t="s">
        <v>66</v>
      </c>
      <c r="D13" s="21">
        <v>45972</v>
      </c>
      <c r="E13" s="46">
        <v>0.89236111111111116</v>
      </c>
      <c r="F13" s="41">
        <v>0.90277777777777779</v>
      </c>
      <c r="G13" s="20"/>
      <c r="H13" s="14" t="s">
        <v>28</v>
      </c>
      <c r="I13" s="14" t="s">
        <v>31</v>
      </c>
      <c r="J13" s="15">
        <v>10</v>
      </c>
      <c r="K13" s="16">
        <v>200000</v>
      </c>
    </row>
    <row r="14" spans="1:11" ht="27" customHeight="1" x14ac:dyDescent="0.25">
      <c r="A14" s="8">
        <v>4</v>
      </c>
      <c r="B14" s="58" t="s">
        <v>65</v>
      </c>
      <c r="C14" s="59" t="s">
        <v>86</v>
      </c>
      <c r="D14" s="21">
        <v>45973</v>
      </c>
      <c r="E14" s="47">
        <v>0.33333333333333331</v>
      </c>
      <c r="F14" s="41">
        <v>0.77083333333333337</v>
      </c>
      <c r="G14" s="20">
        <v>445000</v>
      </c>
      <c r="H14" s="14" t="s">
        <v>28</v>
      </c>
      <c r="I14" s="14" t="s">
        <v>31</v>
      </c>
      <c r="J14" s="26">
        <v>388</v>
      </c>
      <c r="K14" s="49">
        <v>2400000</v>
      </c>
    </row>
    <row r="15" spans="1:11" ht="27" customHeight="1" x14ac:dyDescent="0.25">
      <c r="A15" s="8">
        <v>5</v>
      </c>
      <c r="B15" s="24" t="s">
        <v>72</v>
      </c>
      <c r="C15" s="59" t="s">
        <v>86</v>
      </c>
      <c r="D15" s="21">
        <v>45974</v>
      </c>
      <c r="E15" s="47">
        <v>0.33333333333333331</v>
      </c>
      <c r="F15" s="41">
        <v>0.8125</v>
      </c>
      <c r="G15" s="20">
        <v>150000</v>
      </c>
      <c r="H15" s="14" t="s">
        <v>17</v>
      </c>
      <c r="I15" s="14" t="s">
        <v>31</v>
      </c>
      <c r="J15" s="26">
        <v>443</v>
      </c>
      <c r="K15" s="49">
        <v>2700000</v>
      </c>
    </row>
    <row r="16" spans="1:11" ht="27" customHeight="1" x14ac:dyDescent="0.25">
      <c r="A16" s="8">
        <v>6</v>
      </c>
      <c r="B16" s="24" t="s">
        <v>71</v>
      </c>
      <c r="C16" s="59" t="s">
        <v>86</v>
      </c>
      <c r="D16" s="21">
        <v>45975</v>
      </c>
      <c r="E16" s="47">
        <v>0.33333333333333331</v>
      </c>
      <c r="F16" s="41">
        <v>0.64583333333333337</v>
      </c>
      <c r="G16" s="20">
        <v>70000</v>
      </c>
      <c r="H16" s="14" t="s">
        <v>17</v>
      </c>
      <c r="I16" s="14" t="s">
        <v>31</v>
      </c>
      <c r="J16" s="26">
        <v>165</v>
      </c>
      <c r="K16" s="49">
        <v>1600000</v>
      </c>
    </row>
    <row r="17" spans="1:11" ht="27" customHeight="1" x14ac:dyDescent="0.25">
      <c r="A17" s="8">
        <v>7</v>
      </c>
      <c r="B17" s="24" t="s">
        <v>73</v>
      </c>
      <c r="C17" s="59" t="s">
        <v>66</v>
      </c>
      <c r="D17" s="21">
        <v>45976</v>
      </c>
      <c r="E17" s="47">
        <v>0.45833333333333331</v>
      </c>
      <c r="F17" s="41">
        <v>0.54166666666666663</v>
      </c>
      <c r="G17" s="20">
        <v>210000</v>
      </c>
      <c r="H17" s="14" t="s">
        <v>28</v>
      </c>
      <c r="I17" s="14" t="s">
        <v>31</v>
      </c>
      <c r="J17" s="26">
        <v>135</v>
      </c>
      <c r="K17" s="49">
        <v>1500000</v>
      </c>
    </row>
    <row r="18" spans="1:11" ht="27" customHeight="1" x14ac:dyDescent="0.25">
      <c r="A18" s="8">
        <v>8</v>
      </c>
      <c r="B18" s="24" t="s">
        <v>85</v>
      </c>
      <c r="C18" s="24" t="s">
        <v>23</v>
      </c>
      <c r="D18" s="21">
        <v>45978</v>
      </c>
      <c r="E18" s="47">
        <v>0.33333333333333331</v>
      </c>
      <c r="F18" s="41">
        <v>0.66666666666666663</v>
      </c>
      <c r="G18" s="20"/>
      <c r="H18" s="14" t="s">
        <v>28</v>
      </c>
      <c r="I18" s="14" t="s">
        <v>31</v>
      </c>
      <c r="J18" s="26">
        <v>100</v>
      </c>
      <c r="K18" s="49">
        <v>1200000</v>
      </c>
    </row>
    <row r="19" spans="1:11" ht="27" customHeight="1" x14ac:dyDescent="0.25">
      <c r="A19" s="8">
        <v>9</v>
      </c>
      <c r="B19" s="24" t="s">
        <v>85</v>
      </c>
      <c r="C19" s="24" t="s">
        <v>23</v>
      </c>
      <c r="D19" s="21">
        <v>45981</v>
      </c>
      <c r="E19" s="47">
        <v>0.35416666666666669</v>
      </c>
      <c r="F19" s="41">
        <v>0.79166666666666663</v>
      </c>
      <c r="G19" s="20"/>
      <c r="H19" s="14" t="s">
        <v>28</v>
      </c>
      <c r="I19" s="14" t="s">
        <v>31</v>
      </c>
      <c r="J19" s="26">
        <v>100</v>
      </c>
      <c r="K19" s="49">
        <v>1200000</v>
      </c>
    </row>
    <row r="20" spans="1:11" ht="27" customHeight="1" x14ac:dyDescent="0.25">
      <c r="A20" s="8">
        <v>10</v>
      </c>
      <c r="B20" s="24" t="s">
        <v>91</v>
      </c>
      <c r="C20" s="24" t="s">
        <v>23</v>
      </c>
      <c r="D20" s="21">
        <v>45982</v>
      </c>
      <c r="E20" s="47">
        <v>0.33333333333333331</v>
      </c>
      <c r="F20" s="41">
        <v>0.71875</v>
      </c>
      <c r="G20" s="20">
        <v>90000</v>
      </c>
      <c r="H20" s="14" t="s">
        <v>28</v>
      </c>
      <c r="I20" s="14" t="s">
        <v>31</v>
      </c>
      <c r="J20" s="26">
        <v>100</v>
      </c>
      <c r="K20" s="49">
        <v>1300000</v>
      </c>
    </row>
    <row r="21" spans="1:11" ht="27" customHeight="1" x14ac:dyDescent="0.25">
      <c r="A21" s="8">
        <v>11</v>
      </c>
      <c r="B21" s="24" t="s">
        <v>85</v>
      </c>
      <c r="C21" s="24" t="s">
        <v>23</v>
      </c>
      <c r="D21" s="21">
        <v>45985</v>
      </c>
      <c r="E21" s="47">
        <v>0.34375</v>
      </c>
      <c r="F21" s="41">
        <v>0.72916666666666663</v>
      </c>
      <c r="G21" s="20"/>
      <c r="H21" s="14" t="s">
        <v>28</v>
      </c>
      <c r="I21" s="14" t="s">
        <v>99</v>
      </c>
      <c r="J21" s="26">
        <v>100</v>
      </c>
      <c r="K21" s="49">
        <v>1200000</v>
      </c>
    </row>
    <row r="22" spans="1:11" ht="27" customHeight="1" x14ac:dyDescent="0.25">
      <c r="A22" s="8">
        <v>12</v>
      </c>
      <c r="B22" s="24"/>
      <c r="C22" s="24"/>
      <c r="D22" s="21"/>
      <c r="E22" s="24"/>
      <c r="F22" s="14"/>
      <c r="G22" s="20"/>
      <c r="H22" s="14"/>
      <c r="I22" s="14"/>
      <c r="J22" s="26"/>
      <c r="K22" s="49"/>
    </row>
    <row r="23" spans="1:11" ht="27" customHeight="1" x14ac:dyDescent="0.25">
      <c r="A23" s="8">
        <v>13</v>
      </c>
      <c r="B23" s="24"/>
      <c r="C23" s="24"/>
      <c r="D23" s="21"/>
      <c r="E23" s="24"/>
      <c r="F23" s="14"/>
      <c r="G23" s="20"/>
      <c r="H23" s="14"/>
      <c r="I23" s="14"/>
      <c r="J23" s="26"/>
      <c r="K23" s="49"/>
    </row>
    <row r="24" spans="1:11" ht="27" customHeight="1" x14ac:dyDescent="0.25">
      <c r="A24" s="8">
        <v>14</v>
      </c>
      <c r="B24" s="24"/>
      <c r="C24" s="24"/>
      <c r="D24" s="21"/>
      <c r="E24" s="24"/>
      <c r="F24" s="14"/>
      <c r="G24" s="20"/>
      <c r="H24" s="14"/>
      <c r="I24" s="14"/>
      <c r="J24" s="26"/>
      <c r="K24" s="49"/>
    </row>
    <row r="25" spans="1:11" ht="39.75" customHeight="1" x14ac:dyDescent="0.2">
      <c r="A25" s="74" t="s">
        <v>13</v>
      </c>
      <c r="B25" s="75"/>
      <c r="C25" s="54"/>
      <c r="D25" s="54"/>
      <c r="E25" s="54"/>
      <c r="F25" s="54"/>
      <c r="G25" s="54"/>
      <c r="H25" s="54"/>
      <c r="I25" s="55"/>
      <c r="J25" s="35"/>
      <c r="K25" s="36">
        <f>SUM(K11:K24)</f>
        <v>13800000</v>
      </c>
    </row>
    <row r="26" spans="1:11" s="3" customFormat="1" x14ac:dyDescent="0.2">
      <c r="A26" s="2" t="s">
        <v>14</v>
      </c>
      <c r="B26" s="2"/>
      <c r="C26" s="2"/>
      <c r="D26" s="2"/>
      <c r="E26" s="2"/>
      <c r="F26" s="2"/>
      <c r="H26" s="2"/>
      <c r="I26" s="2"/>
      <c r="J26" s="2"/>
    </row>
    <row r="29" spans="1:11" s="3" customFormat="1" ht="25.5" x14ac:dyDescent="0.2">
      <c r="A29" s="2"/>
      <c r="B29" s="37" t="s">
        <v>15</v>
      </c>
      <c r="C29" s="2"/>
      <c r="D29" s="2"/>
      <c r="E29" s="2"/>
      <c r="F29" s="2"/>
      <c r="G29" s="73" t="s">
        <v>16</v>
      </c>
      <c r="H29" s="73"/>
      <c r="I29" s="73"/>
      <c r="J29" s="39"/>
    </row>
  </sheetData>
  <mergeCells count="4">
    <mergeCell ref="B8:E9"/>
    <mergeCell ref="G8:H9"/>
    <mergeCell ref="G29:I29"/>
    <mergeCell ref="A25:B25"/>
  </mergeCells>
  <pageMargins left="0.7" right="0.7" top="0.75" bottom="0.75" header="0.3" footer="0.3"/>
  <pageSetup scale="6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1555F-7145-430B-B71A-9EF8A5123A74}">
  <sheetPr>
    <pageSetUpPr fitToPage="1"/>
  </sheetPr>
  <dimension ref="A1:L21"/>
  <sheetViews>
    <sheetView zoomScale="80" zoomScaleNormal="80" zoomScalePageLayoutView="110" workbookViewId="0">
      <selection activeCell="O16" sqref="O16"/>
    </sheetView>
  </sheetViews>
  <sheetFormatPr defaultColWidth="8.75" defaultRowHeight="12.75" x14ac:dyDescent="0.2"/>
  <cols>
    <col min="1" max="1" width="5.5" style="2" customWidth="1"/>
    <col min="2" max="2" width="53.25" style="2" bestFit="1" customWidth="1"/>
    <col min="3" max="3" width="14.75" style="2" customWidth="1"/>
    <col min="4" max="4" width="10.75" style="2" customWidth="1"/>
    <col min="5" max="6" width="11.75" style="2" customWidth="1"/>
    <col min="7" max="7" width="9.25" style="3" bestFit="1" customWidth="1"/>
    <col min="8" max="8" width="8.5" style="2" customWidth="1"/>
    <col min="9" max="9" width="11.5" style="2" bestFit="1" customWidth="1"/>
    <col min="10" max="10" width="9.25" style="2" customWidth="1"/>
    <col min="11" max="11" width="18.25" style="3" customWidth="1"/>
    <col min="12" max="12" width="31.375" style="2" customWidth="1"/>
    <col min="13" max="16384" width="8.75" style="2"/>
  </cols>
  <sheetData>
    <row r="1" spans="1:12" ht="15.75" x14ac:dyDescent="0.25">
      <c r="A1" s="1"/>
    </row>
    <row r="2" spans="1:12" ht="15.75" x14ac:dyDescent="0.25">
      <c r="A2" s="1"/>
    </row>
    <row r="3" spans="1:12" ht="15.75" x14ac:dyDescent="0.25">
      <c r="A3" s="1"/>
    </row>
    <row r="4" spans="1:12" ht="15.75" x14ac:dyDescent="0.25">
      <c r="A4" s="1"/>
    </row>
    <row r="6" spans="1:12" ht="19.5" x14ac:dyDescent="0.3">
      <c r="D6" s="4" t="s">
        <v>0</v>
      </c>
      <c r="E6" s="4"/>
    </row>
    <row r="7" spans="1:12" ht="19.5" x14ac:dyDescent="0.3">
      <c r="D7" s="4" t="s">
        <v>1</v>
      </c>
      <c r="E7" s="4"/>
    </row>
    <row r="8" spans="1:12" ht="16.149999999999999" customHeight="1" x14ac:dyDescent="0.3">
      <c r="B8" s="69" t="s">
        <v>19</v>
      </c>
      <c r="C8" s="69"/>
      <c r="D8" s="69"/>
      <c r="E8" s="69"/>
      <c r="F8" s="5"/>
      <c r="G8" s="71">
        <v>45931</v>
      </c>
      <c r="H8" s="71"/>
    </row>
    <row r="9" spans="1:12" ht="18.75" x14ac:dyDescent="0.3">
      <c r="B9" s="70"/>
      <c r="C9" s="70"/>
      <c r="D9" s="70"/>
      <c r="E9" s="70"/>
      <c r="F9" s="5"/>
      <c r="G9" s="72"/>
      <c r="H9" s="72"/>
    </row>
    <row r="10" spans="1:12" ht="57" x14ac:dyDescent="0.2">
      <c r="A10" s="6" t="s">
        <v>2</v>
      </c>
      <c r="B10" s="6" t="s">
        <v>3</v>
      </c>
      <c r="C10" s="6" t="s">
        <v>4</v>
      </c>
      <c r="D10" s="6" t="s">
        <v>5</v>
      </c>
      <c r="E10" s="6" t="s">
        <v>6</v>
      </c>
      <c r="F10" s="6" t="s">
        <v>7</v>
      </c>
      <c r="G10" s="7" t="s">
        <v>8</v>
      </c>
      <c r="H10" s="6" t="s">
        <v>9</v>
      </c>
      <c r="I10" s="6" t="s">
        <v>10</v>
      </c>
      <c r="J10" s="6" t="s">
        <v>11</v>
      </c>
      <c r="K10" s="7" t="s">
        <v>12</v>
      </c>
    </row>
    <row r="11" spans="1:12" ht="32.25" customHeight="1" x14ac:dyDescent="0.2">
      <c r="A11" s="8">
        <v>1</v>
      </c>
      <c r="B11" s="40" t="s">
        <v>29</v>
      </c>
      <c r="C11" s="9" t="s">
        <v>27</v>
      </c>
      <c r="D11" s="10">
        <v>45960</v>
      </c>
      <c r="E11" s="11">
        <v>0.20833333333333334</v>
      </c>
      <c r="F11" s="11">
        <v>0.75</v>
      </c>
      <c r="G11" s="12">
        <v>0</v>
      </c>
      <c r="H11" s="13" t="s">
        <v>28</v>
      </c>
      <c r="I11" s="14" t="s">
        <v>31</v>
      </c>
      <c r="J11" s="15">
        <v>241</v>
      </c>
      <c r="K11" s="16">
        <v>1900000</v>
      </c>
    </row>
    <row r="12" spans="1:12" ht="32.25" customHeight="1" x14ac:dyDescent="0.2">
      <c r="A12" s="8">
        <v>2</v>
      </c>
      <c r="B12" s="17" t="s">
        <v>30</v>
      </c>
      <c r="C12" s="9" t="s">
        <v>27</v>
      </c>
      <c r="D12" s="45">
        <v>45961</v>
      </c>
      <c r="E12" s="41">
        <v>0.29166666666666669</v>
      </c>
      <c r="F12" s="41">
        <v>0.78125</v>
      </c>
      <c r="G12" s="20">
        <v>40000</v>
      </c>
      <c r="H12" s="13" t="s">
        <v>28</v>
      </c>
      <c r="I12" s="14" t="s">
        <v>31</v>
      </c>
      <c r="J12" s="15">
        <v>230</v>
      </c>
      <c r="K12" s="16">
        <v>1900000</v>
      </c>
    </row>
    <row r="13" spans="1:12" ht="32.25" customHeight="1" x14ac:dyDescent="0.2">
      <c r="A13" s="8">
        <v>3</v>
      </c>
      <c r="B13" s="17" t="s">
        <v>35</v>
      </c>
      <c r="C13" s="9" t="s">
        <v>36</v>
      </c>
      <c r="D13" s="50">
        <v>45966</v>
      </c>
      <c r="E13" s="46">
        <v>0.39583333333333331</v>
      </c>
      <c r="F13" s="41">
        <v>0.75</v>
      </c>
      <c r="G13" s="20">
        <f>215000*2</f>
        <v>430000</v>
      </c>
      <c r="H13" s="14" t="s">
        <v>17</v>
      </c>
      <c r="I13" s="14" t="s">
        <v>37</v>
      </c>
      <c r="J13" s="15">
        <v>270</v>
      </c>
      <c r="K13" s="16"/>
      <c r="L13" s="64" t="s">
        <v>88</v>
      </c>
    </row>
    <row r="14" spans="1:12" ht="32.25" customHeight="1" x14ac:dyDescent="0.25">
      <c r="A14" s="8">
        <v>4</v>
      </c>
      <c r="B14" s="23"/>
      <c r="C14" s="24"/>
      <c r="D14" s="25"/>
      <c r="E14" s="24"/>
      <c r="F14" s="14"/>
      <c r="G14" s="20"/>
      <c r="H14" s="14"/>
      <c r="I14" s="14"/>
      <c r="J14" s="26"/>
      <c r="K14" s="27"/>
    </row>
    <row r="15" spans="1:12" ht="32.25" customHeight="1" x14ac:dyDescent="0.25">
      <c r="A15" s="8">
        <v>5</v>
      </c>
      <c r="B15" s="28"/>
      <c r="C15" s="28"/>
      <c r="D15" s="29"/>
      <c r="E15" s="28"/>
      <c r="F15" s="30"/>
      <c r="G15" s="31"/>
      <c r="H15" s="30"/>
      <c r="I15" s="30"/>
      <c r="J15" s="32"/>
      <c r="K15" s="33"/>
    </row>
    <row r="16" spans="1:12" ht="32.25" customHeight="1" x14ac:dyDescent="0.2">
      <c r="A16" s="8">
        <v>6</v>
      </c>
      <c r="B16" s="28"/>
      <c r="C16" s="28"/>
      <c r="D16" s="34"/>
      <c r="E16" s="28"/>
      <c r="F16" s="30"/>
      <c r="G16" s="31"/>
      <c r="H16" s="30"/>
      <c r="I16" s="30"/>
      <c r="J16" s="32"/>
      <c r="K16" s="33"/>
    </row>
    <row r="17" spans="1:11" ht="27" customHeight="1" x14ac:dyDescent="0.2">
      <c r="A17" s="76" t="s">
        <v>13</v>
      </c>
      <c r="B17" s="77"/>
      <c r="C17" s="77"/>
      <c r="D17" s="77"/>
      <c r="E17" s="77"/>
      <c r="F17" s="77"/>
      <c r="G17" s="77"/>
      <c r="H17" s="77"/>
      <c r="I17" s="78"/>
      <c r="J17" s="35">
        <f>SUM(J11:J16)</f>
        <v>741</v>
      </c>
      <c r="K17" s="36">
        <f>SUM(K11:K16)</f>
        <v>3800000</v>
      </c>
    </row>
    <row r="18" spans="1:11" s="3" customFormat="1" x14ac:dyDescent="0.2">
      <c r="A18" s="2" t="s">
        <v>14</v>
      </c>
      <c r="B18" s="2"/>
      <c r="C18" s="2"/>
      <c r="D18" s="2"/>
      <c r="E18" s="2"/>
      <c r="F18" s="2"/>
      <c r="H18" s="2"/>
      <c r="I18" s="2"/>
      <c r="J18" s="2"/>
    </row>
    <row r="21" spans="1:11" s="3" customFormat="1" ht="25.5" x14ac:dyDescent="0.2">
      <c r="A21" s="2"/>
      <c r="B21" s="37" t="s">
        <v>15</v>
      </c>
      <c r="C21" s="2"/>
      <c r="D21" s="2"/>
      <c r="E21" s="2"/>
      <c r="F21" s="2"/>
      <c r="G21" s="73" t="s">
        <v>16</v>
      </c>
      <c r="H21" s="73"/>
      <c r="I21" s="73"/>
      <c r="J21" s="38"/>
    </row>
  </sheetData>
  <mergeCells count="4">
    <mergeCell ref="B8:E9"/>
    <mergeCell ref="G8:H9"/>
    <mergeCell ref="A17:I17"/>
    <mergeCell ref="G21:I21"/>
  </mergeCells>
  <pageMargins left="0.7" right="0.7" top="0.75" bottom="0.75" header="0.3" footer="0.3"/>
  <pageSetup scale="6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5E6AA-5B5A-4A2F-95F2-0C557A215652}">
  <sheetPr>
    <pageSetUpPr fitToPage="1"/>
  </sheetPr>
  <dimension ref="A1:K24"/>
  <sheetViews>
    <sheetView zoomScale="80" zoomScaleNormal="80" zoomScalePageLayoutView="110" workbookViewId="0">
      <selection activeCell="C32" sqref="C32"/>
    </sheetView>
  </sheetViews>
  <sheetFormatPr defaultColWidth="8.75" defaultRowHeight="12.75" x14ac:dyDescent="0.2"/>
  <cols>
    <col min="1" max="1" width="5.5" style="2" customWidth="1"/>
    <col min="2" max="2" width="54.5" style="2" bestFit="1" customWidth="1"/>
    <col min="3" max="3" width="14.75" style="2" customWidth="1"/>
    <col min="4" max="4" width="10.75" style="2" customWidth="1"/>
    <col min="5" max="6" width="11.75" style="2" customWidth="1"/>
    <col min="7" max="7" width="9.25" style="3" bestFit="1" customWidth="1"/>
    <col min="8" max="8" width="8.5" style="2" customWidth="1"/>
    <col min="9" max="9" width="11.5" style="2" bestFit="1" customWidth="1"/>
    <col min="10" max="10" width="9.25" style="2" customWidth="1"/>
    <col min="11" max="11" width="18.25" style="3" customWidth="1"/>
    <col min="12" max="16384" width="8.75" style="2"/>
  </cols>
  <sheetData>
    <row r="1" spans="1:11" ht="15.75" x14ac:dyDescent="0.25">
      <c r="A1" s="1"/>
    </row>
    <row r="2" spans="1:11" ht="15.75" x14ac:dyDescent="0.25">
      <c r="A2" s="1"/>
    </row>
    <row r="3" spans="1:11" ht="15.75" x14ac:dyDescent="0.25">
      <c r="A3" s="1"/>
    </row>
    <row r="4" spans="1:11" ht="15.75" x14ac:dyDescent="0.25">
      <c r="A4" s="1"/>
    </row>
    <row r="6" spans="1:11" ht="19.5" x14ac:dyDescent="0.3">
      <c r="D6" s="4" t="s">
        <v>0</v>
      </c>
      <c r="E6" s="4"/>
    </row>
    <row r="7" spans="1:11" ht="19.5" x14ac:dyDescent="0.3">
      <c r="D7" s="4" t="s">
        <v>1</v>
      </c>
      <c r="E7" s="4"/>
    </row>
    <row r="8" spans="1:11" ht="16.149999999999999" customHeight="1" x14ac:dyDescent="0.3">
      <c r="B8" s="69" t="s">
        <v>56</v>
      </c>
      <c r="C8" s="69"/>
      <c r="D8" s="69"/>
      <c r="E8" s="69"/>
      <c r="F8" s="5"/>
      <c r="G8" s="71">
        <v>45962</v>
      </c>
      <c r="H8" s="71"/>
    </row>
    <row r="9" spans="1:11" ht="18.75" x14ac:dyDescent="0.3">
      <c r="B9" s="70"/>
      <c r="C9" s="70"/>
      <c r="D9" s="70"/>
      <c r="E9" s="70"/>
      <c r="F9" s="5"/>
      <c r="G9" s="72"/>
      <c r="H9" s="72"/>
    </row>
    <row r="10" spans="1:11" ht="57" x14ac:dyDescent="0.2">
      <c r="A10" s="6" t="s">
        <v>2</v>
      </c>
      <c r="B10" s="6" t="s">
        <v>3</v>
      </c>
      <c r="C10" s="6" t="s">
        <v>4</v>
      </c>
      <c r="D10" s="6" t="s">
        <v>5</v>
      </c>
      <c r="E10" s="6" t="s">
        <v>6</v>
      </c>
      <c r="F10" s="6" t="s">
        <v>7</v>
      </c>
      <c r="G10" s="7" t="s">
        <v>8</v>
      </c>
      <c r="H10" s="6" t="s">
        <v>9</v>
      </c>
      <c r="I10" s="6" t="s">
        <v>10</v>
      </c>
      <c r="J10" s="6" t="s">
        <v>11</v>
      </c>
      <c r="K10" s="7" t="s">
        <v>12</v>
      </c>
    </row>
    <row r="11" spans="1:11" ht="27" customHeight="1" x14ac:dyDescent="0.2">
      <c r="A11" s="8">
        <v>1</v>
      </c>
      <c r="B11" s="40" t="s">
        <v>26</v>
      </c>
      <c r="C11" s="43" t="s">
        <v>57</v>
      </c>
      <c r="D11" s="10">
        <v>45957</v>
      </c>
      <c r="E11" s="11">
        <v>0.33333333333333331</v>
      </c>
      <c r="F11" s="11">
        <v>0.8125</v>
      </c>
      <c r="G11" s="12">
        <v>230000</v>
      </c>
      <c r="H11" s="13" t="s">
        <v>17</v>
      </c>
      <c r="I11" s="14" t="s">
        <v>18</v>
      </c>
      <c r="J11" s="15">
        <v>300</v>
      </c>
      <c r="K11" s="16">
        <v>1800000</v>
      </c>
    </row>
    <row r="12" spans="1:11" ht="27" customHeight="1" x14ac:dyDescent="0.25">
      <c r="A12" s="8">
        <v>2</v>
      </c>
      <c r="B12" s="17" t="s">
        <v>48</v>
      </c>
      <c r="C12" s="9" t="s">
        <v>57</v>
      </c>
      <c r="D12" s="19">
        <v>45965</v>
      </c>
      <c r="E12" s="41">
        <v>0.3125</v>
      </c>
      <c r="F12" s="41">
        <v>0.8125</v>
      </c>
      <c r="G12" s="20">
        <f>218000</f>
        <v>218000</v>
      </c>
      <c r="H12" s="14" t="s">
        <v>25</v>
      </c>
      <c r="I12" s="14" t="s">
        <v>18</v>
      </c>
      <c r="J12" s="15">
        <v>200</v>
      </c>
      <c r="K12" s="16">
        <v>2800000</v>
      </c>
    </row>
    <row r="13" spans="1:11" ht="27" customHeight="1" x14ac:dyDescent="0.25">
      <c r="A13" s="8">
        <v>3</v>
      </c>
      <c r="B13" s="17" t="s">
        <v>49</v>
      </c>
      <c r="C13" s="9" t="s">
        <v>51</v>
      </c>
      <c r="D13" s="21">
        <v>45966</v>
      </c>
      <c r="E13" s="46">
        <v>0.29166666666666669</v>
      </c>
      <c r="F13" s="41">
        <v>0.8125</v>
      </c>
      <c r="G13" s="20">
        <f>176000+29000+50000+72000</f>
        <v>327000</v>
      </c>
      <c r="H13" s="14" t="s">
        <v>25</v>
      </c>
      <c r="I13" s="14" t="s">
        <v>18</v>
      </c>
      <c r="J13" s="15">
        <v>350</v>
      </c>
      <c r="K13" s="16">
        <v>2700000</v>
      </c>
    </row>
    <row r="14" spans="1:11" ht="27" customHeight="1" x14ac:dyDescent="0.25">
      <c r="A14" s="8">
        <v>4</v>
      </c>
      <c r="B14" s="24" t="s">
        <v>50</v>
      </c>
      <c r="C14" s="24" t="s">
        <v>52</v>
      </c>
      <c r="D14" s="21">
        <v>45967</v>
      </c>
      <c r="E14" s="47">
        <v>0.3125</v>
      </c>
      <c r="F14" s="41">
        <v>0.75</v>
      </c>
      <c r="G14" s="20">
        <f>218000+282000</f>
        <v>500000</v>
      </c>
      <c r="H14" s="14" t="s">
        <v>25</v>
      </c>
      <c r="I14" s="14" t="s">
        <v>18</v>
      </c>
      <c r="J14" s="26">
        <v>258</v>
      </c>
      <c r="K14" s="49">
        <v>2500000</v>
      </c>
    </row>
    <row r="15" spans="1:11" ht="27" customHeight="1" x14ac:dyDescent="0.25">
      <c r="A15" s="8">
        <v>5</v>
      </c>
      <c r="B15" s="24" t="s">
        <v>53</v>
      </c>
      <c r="C15" s="24" t="s">
        <v>55</v>
      </c>
      <c r="D15" s="21">
        <v>45968</v>
      </c>
      <c r="E15" s="47">
        <v>0.32291666666666669</v>
      </c>
      <c r="F15" s="41">
        <v>0.70833333333333337</v>
      </c>
      <c r="G15" s="20">
        <f>103000+282000+40000</f>
        <v>425000</v>
      </c>
      <c r="H15" s="14" t="s">
        <v>25</v>
      </c>
      <c r="I15" s="14" t="s">
        <v>18</v>
      </c>
      <c r="J15" s="26">
        <v>165</v>
      </c>
      <c r="K15" s="49">
        <v>2500000</v>
      </c>
    </row>
    <row r="16" spans="1:11" ht="27" customHeight="1" x14ac:dyDescent="0.25">
      <c r="A16" s="8">
        <v>6</v>
      </c>
      <c r="B16" s="24" t="s">
        <v>54</v>
      </c>
      <c r="C16" s="24" t="s">
        <v>52</v>
      </c>
      <c r="D16" s="21">
        <v>45969</v>
      </c>
      <c r="E16" s="47">
        <v>0.41666666666666669</v>
      </c>
      <c r="F16" s="41">
        <v>0.79166666666666663</v>
      </c>
      <c r="G16" s="20">
        <f>103000+282000</f>
        <v>385000</v>
      </c>
      <c r="H16" s="14" t="s">
        <v>25</v>
      </c>
      <c r="I16" s="14" t="s">
        <v>18</v>
      </c>
      <c r="J16" s="26">
        <v>320</v>
      </c>
      <c r="K16" s="49">
        <v>2800000</v>
      </c>
    </row>
    <row r="17" spans="1:11" ht="27" customHeight="1" x14ac:dyDescent="0.25">
      <c r="A17" s="8">
        <v>7</v>
      </c>
      <c r="B17" s="24"/>
      <c r="C17" s="24"/>
      <c r="D17" s="21"/>
      <c r="E17" s="24"/>
      <c r="F17" s="14"/>
      <c r="G17" s="20"/>
      <c r="H17" s="14"/>
      <c r="I17" s="14"/>
      <c r="J17" s="26"/>
      <c r="K17" s="27" t="s">
        <v>83</v>
      </c>
    </row>
    <row r="18" spans="1:11" ht="27" customHeight="1" x14ac:dyDescent="0.25">
      <c r="A18" s="8">
        <v>8</v>
      </c>
      <c r="B18" s="24"/>
      <c r="C18" s="24"/>
      <c r="D18" s="21"/>
      <c r="E18" s="24"/>
      <c r="F18" s="14"/>
      <c r="G18" s="20"/>
      <c r="H18" s="14"/>
      <c r="I18" s="14"/>
      <c r="J18" s="26"/>
      <c r="K18" s="49"/>
    </row>
    <row r="19" spans="1:11" ht="27" customHeight="1" x14ac:dyDescent="0.2">
      <c r="A19" s="8">
        <v>9</v>
      </c>
      <c r="B19" s="24"/>
      <c r="C19" s="24"/>
      <c r="D19" s="51"/>
      <c r="E19" s="24"/>
      <c r="F19" s="14"/>
      <c r="G19" s="20"/>
      <c r="H19" s="14"/>
      <c r="I19" s="14"/>
      <c r="J19" s="26"/>
      <c r="K19" s="49"/>
    </row>
    <row r="20" spans="1:11" ht="18.75" x14ac:dyDescent="0.2">
      <c r="A20" s="76" t="s">
        <v>13</v>
      </c>
      <c r="B20" s="77"/>
      <c r="C20" s="77"/>
      <c r="D20" s="77"/>
      <c r="E20" s="77"/>
      <c r="F20" s="77"/>
      <c r="G20" s="77"/>
      <c r="H20" s="77"/>
      <c r="I20" s="78"/>
      <c r="J20" s="35"/>
      <c r="K20" s="36">
        <f>SUM(K11:K19)</f>
        <v>15100000</v>
      </c>
    </row>
    <row r="21" spans="1:11" s="3" customFormat="1" x14ac:dyDescent="0.2">
      <c r="A21" s="2" t="s">
        <v>14</v>
      </c>
      <c r="B21" s="2"/>
      <c r="C21" s="2"/>
      <c r="D21" s="2"/>
      <c r="E21" s="2"/>
      <c r="F21" s="2"/>
      <c r="H21" s="2"/>
      <c r="I21" s="2"/>
      <c r="J21" s="2"/>
    </row>
    <row r="24" spans="1:11" s="3" customFormat="1" ht="25.5" x14ac:dyDescent="0.2">
      <c r="A24" s="2"/>
      <c r="B24" s="37" t="s">
        <v>15</v>
      </c>
      <c r="C24" s="2"/>
      <c r="D24" s="2"/>
      <c r="E24" s="2"/>
      <c r="F24" s="2"/>
      <c r="G24" s="73" t="s">
        <v>16</v>
      </c>
      <c r="H24" s="73"/>
      <c r="I24" s="73"/>
      <c r="J24" s="42"/>
    </row>
  </sheetData>
  <mergeCells count="4">
    <mergeCell ref="B8:E9"/>
    <mergeCell ref="G8:H9"/>
    <mergeCell ref="A20:I20"/>
    <mergeCell ref="G24:I24"/>
  </mergeCells>
  <pageMargins left="0.7" right="0.7" top="0.75" bottom="0.75" header="0.3" footer="0.3"/>
  <pageSetup scale="6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57D43-E8F3-4B00-8785-A8C11BFD055A}">
  <sheetPr>
    <pageSetUpPr fitToPage="1"/>
  </sheetPr>
  <dimension ref="A1:L28"/>
  <sheetViews>
    <sheetView tabSelected="1" zoomScale="80" zoomScaleNormal="80" zoomScalePageLayoutView="110" workbookViewId="0">
      <selection activeCell="I12" sqref="I12"/>
    </sheetView>
  </sheetViews>
  <sheetFormatPr defaultColWidth="8.75" defaultRowHeight="12.75" x14ac:dyDescent="0.2"/>
  <cols>
    <col min="1" max="1" width="5.5" style="2" customWidth="1"/>
    <col min="2" max="2" width="53.25" style="2" bestFit="1" customWidth="1"/>
    <col min="3" max="3" width="14.75" style="2" customWidth="1"/>
    <col min="4" max="4" width="10.75" style="2" customWidth="1"/>
    <col min="5" max="6" width="11.75" style="2" customWidth="1"/>
    <col min="7" max="7" width="9.25" style="3" bestFit="1" customWidth="1"/>
    <col min="8" max="8" width="8.5" style="2" customWidth="1"/>
    <col min="9" max="9" width="11.5" style="2" bestFit="1" customWidth="1"/>
    <col min="10" max="10" width="9.25" style="2" customWidth="1"/>
    <col min="11" max="11" width="18.25" style="3" customWidth="1"/>
    <col min="12" max="12" width="29.5" style="2" customWidth="1"/>
    <col min="13" max="16384" width="8.75" style="2"/>
  </cols>
  <sheetData>
    <row r="1" spans="1:12" ht="15.75" x14ac:dyDescent="0.25">
      <c r="A1" s="1"/>
    </row>
    <row r="2" spans="1:12" ht="15.75" x14ac:dyDescent="0.25">
      <c r="A2" s="1"/>
    </row>
    <row r="3" spans="1:12" ht="15.75" x14ac:dyDescent="0.25">
      <c r="A3" s="1"/>
    </row>
    <row r="4" spans="1:12" ht="15.75" x14ac:dyDescent="0.25">
      <c r="A4" s="1"/>
    </row>
    <row r="6" spans="1:12" ht="19.5" x14ac:dyDescent="0.3">
      <c r="D6" s="4" t="s">
        <v>0</v>
      </c>
      <c r="E6" s="4"/>
    </row>
    <row r="7" spans="1:12" ht="19.5" x14ac:dyDescent="0.3">
      <c r="D7" s="4" t="s">
        <v>1</v>
      </c>
      <c r="E7" s="4"/>
    </row>
    <row r="8" spans="1:12" ht="16.149999999999999" customHeight="1" x14ac:dyDescent="0.3">
      <c r="B8" s="69" t="s">
        <v>60</v>
      </c>
      <c r="C8" s="69"/>
      <c r="D8" s="69"/>
      <c r="E8" s="69"/>
      <c r="F8" s="5"/>
      <c r="G8" s="71">
        <v>45962</v>
      </c>
      <c r="H8" s="71"/>
    </row>
    <row r="9" spans="1:12" ht="18.75" x14ac:dyDescent="0.3">
      <c r="B9" s="70"/>
      <c r="C9" s="70"/>
      <c r="D9" s="70"/>
      <c r="E9" s="70"/>
      <c r="F9" s="5"/>
      <c r="G9" s="72"/>
      <c r="H9" s="72"/>
    </row>
    <row r="10" spans="1:12" ht="57" x14ac:dyDescent="0.2">
      <c r="A10" s="6" t="s">
        <v>2</v>
      </c>
      <c r="B10" s="6" t="s">
        <v>3</v>
      </c>
      <c r="C10" s="6" t="s">
        <v>4</v>
      </c>
      <c r="D10" s="6" t="s">
        <v>5</v>
      </c>
      <c r="E10" s="6" t="s">
        <v>6</v>
      </c>
      <c r="F10" s="6" t="s">
        <v>7</v>
      </c>
      <c r="G10" s="7" t="s">
        <v>8</v>
      </c>
      <c r="H10" s="6" t="s">
        <v>9</v>
      </c>
      <c r="I10" s="6" t="s">
        <v>10</v>
      </c>
      <c r="J10" s="6" t="s">
        <v>11</v>
      </c>
      <c r="K10" s="7" t="s">
        <v>12</v>
      </c>
    </row>
    <row r="11" spans="1:12" ht="27" customHeight="1" x14ac:dyDescent="0.2">
      <c r="A11" s="8">
        <v>1</v>
      </c>
      <c r="B11" s="40" t="s">
        <v>61</v>
      </c>
      <c r="C11" s="9" t="s">
        <v>62</v>
      </c>
      <c r="D11" s="10">
        <v>45972</v>
      </c>
      <c r="E11" s="11">
        <v>0.34027777777777773</v>
      </c>
      <c r="F11" s="11">
        <v>0.38541666666666669</v>
      </c>
      <c r="G11" s="12"/>
      <c r="H11" s="13" t="s">
        <v>28</v>
      </c>
      <c r="I11" s="14" t="s">
        <v>34</v>
      </c>
      <c r="J11" s="15">
        <v>28</v>
      </c>
      <c r="K11" s="16">
        <v>350000</v>
      </c>
      <c r="L11" s="57"/>
    </row>
    <row r="12" spans="1:12" ht="27" customHeight="1" x14ac:dyDescent="0.2">
      <c r="A12" s="8">
        <v>2</v>
      </c>
      <c r="B12" s="17" t="s">
        <v>63</v>
      </c>
      <c r="C12" s="9" t="s">
        <v>62</v>
      </c>
      <c r="D12" s="10">
        <v>45972</v>
      </c>
      <c r="E12" s="41">
        <v>0.64583333333333337</v>
      </c>
      <c r="F12" s="41">
        <v>0.73958333333333337</v>
      </c>
      <c r="G12" s="20"/>
      <c r="H12" s="14" t="s">
        <v>28</v>
      </c>
      <c r="I12" s="14" t="s">
        <v>34</v>
      </c>
      <c r="J12" s="15">
        <v>28</v>
      </c>
      <c r="K12" s="16">
        <v>350000</v>
      </c>
      <c r="L12" s="57"/>
    </row>
    <row r="13" spans="1:12" ht="27" customHeight="1" x14ac:dyDescent="0.25">
      <c r="A13" s="8">
        <v>3</v>
      </c>
      <c r="B13" s="17" t="s">
        <v>67</v>
      </c>
      <c r="C13" s="9" t="s">
        <v>68</v>
      </c>
      <c r="D13" s="21">
        <v>45974</v>
      </c>
      <c r="E13" s="46">
        <v>0.3125</v>
      </c>
      <c r="F13" s="41">
        <v>0.35416666666666669</v>
      </c>
      <c r="G13" s="20"/>
      <c r="H13" s="14" t="s">
        <v>17</v>
      </c>
      <c r="I13" s="14" t="s">
        <v>69</v>
      </c>
      <c r="J13" s="15">
        <v>28</v>
      </c>
      <c r="K13" s="16">
        <v>400000</v>
      </c>
    </row>
    <row r="14" spans="1:12" ht="27" customHeight="1" x14ac:dyDescent="0.25">
      <c r="A14" s="8">
        <v>4</v>
      </c>
      <c r="B14" s="24" t="s">
        <v>70</v>
      </c>
      <c r="C14" s="9" t="s">
        <v>68</v>
      </c>
      <c r="D14" s="21">
        <v>45974</v>
      </c>
      <c r="E14" s="47">
        <v>0.64583333333333337</v>
      </c>
      <c r="F14" s="41">
        <v>0.70833333333333337</v>
      </c>
      <c r="G14" s="20"/>
      <c r="H14" s="14" t="s">
        <v>17</v>
      </c>
      <c r="I14" s="14" t="s">
        <v>69</v>
      </c>
      <c r="J14" s="15">
        <v>28</v>
      </c>
      <c r="K14" s="16">
        <v>400000</v>
      </c>
    </row>
    <row r="15" spans="1:12" ht="27" customHeight="1" x14ac:dyDescent="0.25">
      <c r="A15" s="8">
        <v>5</v>
      </c>
      <c r="B15" s="24" t="s">
        <v>89</v>
      </c>
      <c r="C15" s="24" t="s">
        <v>90</v>
      </c>
      <c r="D15" s="21">
        <v>45982</v>
      </c>
      <c r="E15" s="47">
        <v>0.375</v>
      </c>
      <c r="F15" s="41">
        <v>0.43055555555555558</v>
      </c>
      <c r="G15" s="20"/>
      <c r="H15" s="14" t="s">
        <v>17</v>
      </c>
      <c r="I15" s="14" t="s">
        <v>69</v>
      </c>
      <c r="J15" s="26">
        <v>35</v>
      </c>
      <c r="K15" s="49">
        <v>450000</v>
      </c>
    </row>
    <row r="16" spans="1:12" ht="27" customHeight="1" x14ac:dyDescent="0.25">
      <c r="A16" s="8">
        <v>6</v>
      </c>
      <c r="B16" s="24"/>
      <c r="C16" s="24"/>
      <c r="D16" s="21"/>
      <c r="E16" s="24"/>
      <c r="F16" s="14"/>
      <c r="G16" s="20"/>
      <c r="H16" s="14"/>
      <c r="I16" s="14"/>
      <c r="J16" s="26"/>
      <c r="K16" s="49"/>
    </row>
    <row r="17" spans="1:11" ht="27" customHeight="1" x14ac:dyDescent="0.25">
      <c r="A17" s="8">
        <v>7</v>
      </c>
      <c r="B17" s="24"/>
      <c r="C17" s="24"/>
      <c r="D17" s="21"/>
      <c r="E17" s="24"/>
      <c r="F17" s="14"/>
      <c r="G17" s="20"/>
      <c r="H17" s="14"/>
      <c r="I17" s="14"/>
      <c r="J17" s="26"/>
      <c r="K17" s="49"/>
    </row>
    <row r="18" spans="1:11" ht="27" customHeight="1" x14ac:dyDescent="0.25">
      <c r="A18" s="8">
        <v>8</v>
      </c>
      <c r="B18" s="24"/>
      <c r="C18" s="24"/>
      <c r="D18" s="21"/>
      <c r="E18" s="24"/>
      <c r="F18" s="14"/>
      <c r="G18" s="20"/>
      <c r="H18" s="14"/>
      <c r="I18" s="14"/>
      <c r="J18" s="26"/>
      <c r="K18" s="49"/>
    </row>
    <row r="19" spans="1:11" ht="27" customHeight="1" x14ac:dyDescent="0.25">
      <c r="A19" s="8">
        <v>9</v>
      </c>
      <c r="B19" s="24"/>
      <c r="C19" s="24"/>
      <c r="D19" s="21"/>
      <c r="E19" s="24"/>
      <c r="F19" s="14"/>
      <c r="G19" s="20"/>
      <c r="H19" s="14"/>
      <c r="I19" s="14"/>
      <c r="J19" s="26"/>
      <c r="K19" s="49"/>
    </row>
    <row r="20" spans="1:11" ht="27" customHeight="1" x14ac:dyDescent="0.25">
      <c r="A20" s="8">
        <v>10</v>
      </c>
      <c r="B20" s="24"/>
      <c r="C20" s="24"/>
      <c r="D20" s="21"/>
      <c r="E20" s="24"/>
      <c r="F20" s="14"/>
      <c r="G20" s="20"/>
      <c r="H20" s="14"/>
      <c r="I20" s="14"/>
      <c r="J20" s="26"/>
      <c r="K20" s="49"/>
    </row>
    <row r="21" spans="1:11" ht="27" customHeight="1" x14ac:dyDescent="0.25">
      <c r="A21" s="8">
        <v>11</v>
      </c>
      <c r="B21" s="24"/>
      <c r="C21" s="24"/>
      <c r="D21" s="21"/>
      <c r="E21" s="24"/>
      <c r="F21" s="14"/>
      <c r="G21" s="20"/>
      <c r="H21" s="14"/>
      <c r="I21" s="14"/>
      <c r="J21" s="26"/>
      <c r="K21" s="49"/>
    </row>
    <row r="22" spans="1:11" ht="27" customHeight="1" x14ac:dyDescent="0.25">
      <c r="A22" s="8">
        <v>12</v>
      </c>
      <c r="B22" s="24"/>
      <c r="C22" s="24"/>
      <c r="D22" s="21"/>
      <c r="E22" s="24"/>
      <c r="F22" s="14"/>
      <c r="G22" s="20"/>
      <c r="H22" s="14"/>
      <c r="I22" s="14"/>
      <c r="J22" s="26"/>
      <c r="K22" s="49"/>
    </row>
    <row r="23" spans="1:11" ht="27" customHeight="1" x14ac:dyDescent="0.25">
      <c r="A23" s="8">
        <v>13</v>
      </c>
      <c r="B23" s="24"/>
      <c r="C23" s="24"/>
      <c r="D23" s="21"/>
      <c r="E23" s="24"/>
      <c r="F23" s="14"/>
      <c r="G23" s="20"/>
      <c r="H23" s="14"/>
      <c r="I23" s="14"/>
      <c r="J23" s="26"/>
      <c r="K23" s="49"/>
    </row>
    <row r="24" spans="1:11" ht="18.75" x14ac:dyDescent="0.2">
      <c r="A24" s="76" t="s">
        <v>13</v>
      </c>
      <c r="B24" s="77"/>
      <c r="C24" s="77"/>
      <c r="D24" s="77"/>
      <c r="E24" s="77"/>
      <c r="F24" s="77"/>
      <c r="G24" s="77"/>
      <c r="H24" s="77"/>
      <c r="I24" s="78"/>
      <c r="J24" s="35"/>
      <c r="K24" s="36">
        <f>SUM(K11:K23)</f>
        <v>1950000</v>
      </c>
    </row>
    <row r="25" spans="1:11" s="3" customFormat="1" x14ac:dyDescent="0.2">
      <c r="A25" s="2" t="s">
        <v>14</v>
      </c>
      <c r="B25" s="2"/>
      <c r="C25" s="2"/>
      <c r="D25" s="2"/>
      <c r="E25" s="2"/>
      <c r="F25" s="2"/>
      <c r="H25" s="2"/>
      <c r="I25" s="2"/>
      <c r="J25" s="2"/>
    </row>
    <row r="28" spans="1:11" s="3" customFormat="1" ht="25.5" x14ac:dyDescent="0.2">
      <c r="A28" s="2"/>
      <c r="B28" s="37" t="s">
        <v>15</v>
      </c>
      <c r="C28" s="2"/>
      <c r="D28" s="2"/>
      <c r="E28" s="2"/>
      <c r="F28" s="2"/>
      <c r="G28" s="73" t="s">
        <v>16</v>
      </c>
      <c r="H28" s="73"/>
      <c r="I28" s="73"/>
      <c r="J28" s="56"/>
    </row>
  </sheetData>
  <mergeCells count="4">
    <mergeCell ref="B8:E9"/>
    <mergeCell ref="G8:H9"/>
    <mergeCell ref="A24:I24"/>
    <mergeCell ref="G28:I28"/>
  </mergeCells>
  <pageMargins left="0.7" right="0.7" top="0.75" bottom="0.75" header="0.3" footer="0.3"/>
  <pageSetup scale="67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471AA-C7F0-490F-A15D-39F6DF86C9F2}">
  <sheetPr>
    <pageSetUpPr fitToPage="1"/>
  </sheetPr>
  <dimension ref="A1:K24"/>
  <sheetViews>
    <sheetView zoomScale="80" zoomScaleNormal="80" zoomScalePageLayoutView="110" workbookViewId="0">
      <selection activeCell="D28" sqref="D28"/>
    </sheetView>
  </sheetViews>
  <sheetFormatPr defaultColWidth="8.75" defaultRowHeight="12.75" x14ac:dyDescent="0.2"/>
  <cols>
    <col min="1" max="1" width="5.5" style="2" customWidth="1"/>
    <col min="2" max="2" width="53.25" style="2" bestFit="1" customWidth="1"/>
    <col min="3" max="3" width="14.75" style="2" customWidth="1"/>
    <col min="4" max="4" width="14.5" style="2" customWidth="1"/>
    <col min="5" max="5" width="12.5" style="2" customWidth="1"/>
    <col min="6" max="6" width="12.75" style="2" customWidth="1"/>
    <col min="7" max="7" width="9.25" style="3" bestFit="1" customWidth="1"/>
    <col min="8" max="8" width="8.5" style="2" customWidth="1"/>
    <col min="9" max="9" width="11.5" style="2" bestFit="1" customWidth="1"/>
    <col min="10" max="10" width="9.25" style="2" customWidth="1"/>
    <col min="11" max="11" width="18.25" style="3" customWidth="1"/>
    <col min="12" max="16384" width="8.75" style="2"/>
  </cols>
  <sheetData>
    <row r="1" spans="1:11" ht="15.75" x14ac:dyDescent="0.25">
      <c r="A1" s="1"/>
    </row>
    <row r="2" spans="1:11" ht="15.75" x14ac:dyDescent="0.25">
      <c r="A2" s="1"/>
    </row>
    <row r="3" spans="1:11" ht="15.75" x14ac:dyDescent="0.25">
      <c r="A3" s="1"/>
    </row>
    <row r="4" spans="1:11" ht="15.75" x14ac:dyDescent="0.25">
      <c r="A4" s="1"/>
    </row>
    <row r="6" spans="1:11" ht="19.5" x14ac:dyDescent="0.3">
      <c r="D6" s="4" t="s">
        <v>0</v>
      </c>
      <c r="E6" s="4"/>
    </row>
    <row r="7" spans="1:11" ht="19.5" x14ac:dyDescent="0.3">
      <c r="D7" s="4" t="s">
        <v>1</v>
      </c>
      <c r="E7" s="4"/>
    </row>
    <row r="8" spans="1:11" ht="16.149999999999999" customHeight="1" x14ac:dyDescent="0.3">
      <c r="B8" s="69" t="s">
        <v>94</v>
      </c>
      <c r="C8" s="69"/>
      <c r="D8" s="69"/>
      <c r="E8" s="69"/>
      <c r="F8" s="5"/>
      <c r="G8" s="71">
        <v>45962</v>
      </c>
      <c r="H8" s="71"/>
    </row>
    <row r="9" spans="1:11" ht="18.75" x14ac:dyDescent="0.3">
      <c r="B9" s="70"/>
      <c r="C9" s="70"/>
      <c r="D9" s="70"/>
      <c r="E9" s="70"/>
      <c r="F9" s="5"/>
      <c r="G9" s="72"/>
      <c r="H9" s="72"/>
    </row>
    <row r="10" spans="1:11" ht="57" x14ac:dyDescent="0.2">
      <c r="A10" s="6" t="s">
        <v>2</v>
      </c>
      <c r="B10" s="6" t="s">
        <v>3</v>
      </c>
      <c r="C10" s="6" t="s">
        <v>4</v>
      </c>
      <c r="D10" s="6" t="s">
        <v>5</v>
      </c>
      <c r="E10" s="6" t="s">
        <v>6</v>
      </c>
      <c r="F10" s="6" t="s">
        <v>7</v>
      </c>
      <c r="G10" s="7" t="s">
        <v>8</v>
      </c>
      <c r="H10" s="6" t="s">
        <v>9</v>
      </c>
      <c r="I10" s="6" t="s">
        <v>10</v>
      </c>
      <c r="J10" s="6" t="s">
        <v>11</v>
      </c>
      <c r="K10" s="7" t="s">
        <v>12</v>
      </c>
    </row>
    <row r="11" spans="1:11" ht="25.5" customHeight="1" x14ac:dyDescent="0.2">
      <c r="A11" s="8">
        <v>1</v>
      </c>
      <c r="B11" s="40" t="s">
        <v>95</v>
      </c>
      <c r="C11" s="9" t="s">
        <v>96</v>
      </c>
      <c r="D11" s="10">
        <v>45977</v>
      </c>
      <c r="E11" s="11">
        <v>0.29166666666666669</v>
      </c>
      <c r="F11" s="11">
        <v>0.45833333333333331</v>
      </c>
      <c r="G11" s="12">
        <v>120000</v>
      </c>
      <c r="H11" s="13" t="s">
        <v>28</v>
      </c>
      <c r="I11" s="14" t="s">
        <v>43</v>
      </c>
      <c r="J11" s="15">
        <v>121</v>
      </c>
      <c r="K11" s="16">
        <v>1000000</v>
      </c>
    </row>
    <row r="12" spans="1:11" ht="27" customHeight="1" x14ac:dyDescent="0.25">
      <c r="A12" s="8">
        <v>2</v>
      </c>
      <c r="B12" s="17" t="s">
        <v>97</v>
      </c>
      <c r="C12" s="18" t="s">
        <v>23</v>
      </c>
      <c r="D12" s="19">
        <v>45978</v>
      </c>
      <c r="E12" s="41">
        <v>0.33333333333333331</v>
      </c>
      <c r="F12" s="41">
        <v>0.45833333333333331</v>
      </c>
      <c r="G12" s="20"/>
      <c r="H12" s="14" t="s">
        <v>17</v>
      </c>
      <c r="I12" s="14" t="s">
        <v>18</v>
      </c>
      <c r="J12" s="15">
        <v>135</v>
      </c>
      <c r="K12" s="16">
        <v>1600000</v>
      </c>
    </row>
    <row r="13" spans="1:11" ht="27" customHeight="1" x14ac:dyDescent="0.25">
      <c r="A13" s="8">
        <v>3</v>
      </c>
      <c r="B13" s="17" t="s">
        <v>97</v>
      </c>
      <c r="C13" s="18" t="s">
        <v>23</v>
      </c>
      <c r="D13" s="21"/>
      <c r="E13" s="22"/>
      <c r="F13" s="14"/>
      <c r="G13" s="20"/>
      <c r="H13" s="14" t="s">
        <v>17</v>
      </c>
      <c r="I13" s="14" t="s">
        <v>18</v>
      </c>
      <c r="J13" s="15">
        <v>135</v>
      </c>
      <c r="K13" s="16">
        <v>1600000</v>
      </c>
    </row>
    <row r="14" spans="1:11" ht="27" customHeight="1" x14ac:dyDescent="0.25">
      <c r="A14" s="8">
        <v>4</v>
      </c>
      <c r="B14" s="23" t="s">
        <v>98</v>
      </c>
      <c r="C14" s="18" t="s">
        <v>23</v>
      </c>
      <c r="D14" s="25"/>
      <c r="E14" s="24"/>
      <c r="F14" s="14"/>
      <c r="G14" s="20"/>
      <c r="H14" s="14" t="s">
        <v>28</v>
      </c>
      <c r="I14" s="14" t="s">
        <v>18</v>
      </c>
      <c r="J14" s="26">
        <v>10</v>
      </c>
      <c r="K14" s="27">
        <v>100000</v>
      </c>
    </row>
    <row r="15" spans="1:11" ht="27" customHeight="1" x14ac:dyDescent="0.25">
      <c r="A15" s="8">
        <v>5</v>
      </c>
      <c r="B15" s="28"/>
      <c r="C15" s="28"/>
      <c r="D15" s="29"/>
      <c r="E15" s="28"/>
      <c r="F15" s="30"/>
      <c r="G15" s="31"/>
      <c r="H15" s="30"/>
      <c r="I15" s="30"/>
      <c r="J15" s="32"/>
      <c r="K15" s="33"/>
    </row>
    <row r="16" spans="1:11" ht="27" customHeight="1" x14ac:dyDescent="0.2">
      <c r="A16" s="8">
        <v>6</v>
      </c>
      <c r="B16" s="28"/>
      <c r="C16" s="28"/>
      <c r="D16" s="34"/>
      <c r="E16" s="28"/>
      <c r="F16" s="30"/>
      <c r="G16" s="31"/>
      <c r="H16" s="30"/>
      <c r="I16" s="30"/>
      <c r="J16" s="32"/>
      <c r="K16" s="33"/>
    </row>
    <row r="17" spans="1:11" ht="27" customHeight="1" x14ac:dyDescent="0.2">
      <c r="A17" s="8">
        <v>7</v>
      </c>
      <c r="B17" s="28"/>
      <c r="C17" s="28"/>
      <c r="D17" s="34"/>
      <c r="E17" s="28"/>
      <c r="F17" s="30"/>
      <c r="G17" s="31"/>
      <c r="H17" s="30"/>
      <c r="I17" s="30"/>
      <c r="J17" s="32"/>
      <c r="K17" s="33"/>
    </row>
    <row r="18" spans="1:11" ht="27" customHeight="1" x14ac:dyDescent="0.2">
      <c r="A18" s="8">
        <v>8</v>
      </c>
      <c r="B18" s="28"/>
      <c r="C18" s="28"/>
      <c r="D18" s="34"/>
      <c r="E18" s="28"/>
      <c r="F18" s="30"/>
      <c r="G18" s="31"/>
      <c r="H18" s="30"/>
      <c r="I18" s="30"/>
      <c r="J18" s="32"/>
      <c r="K18" s="33"/>
    </row>
    <row r="19" spans="1:11" ht="27" customHeight="1" x14ac:dyDescent="0.2">
      <c r="A19" s="8">
        <v>9</v>
      </c>
      <c r="B19" s="28"/>
      <c r="C19" s="28"/>
      <c r="D19" s="34"/>
      <c r="E19" s="28"/>
      <c r="F19" s="30"/>
      <c r="G19" s="31"/>
      <c r="H19" s="30"/>
      <c r="I19" s="30"/>
      <c r="J19" s="32"/>
      <c r="K19" s="33"/>
    </row>
    <row r="20" spans="1:11" ht="21.75" customHeight="1" x14ac:dyDescent="0.2">
      <c r="A20" s="76" t="s">
        <v>13</v>
      </c>
      <c r="B20" s="77"/>
      <c r="C20" s="77"/>
      <c r="D20" s="77"/>
      <c r="E20" s="77"/>
      <c r="F20" s="77"/>
      <c r="G20" s="77"/>
      <c r="H20" s="77"/>
      <c r="I20" s="78"/>
      <c r="J20" s="35"/>
      <c r="K20" s="36">
        <f>SUM(K11:K19)</f>
        <v>4300000</v>
      </c>
    </row>
    <row r="21" spans="1:11" s="3" customFormat="1" x14ac:dyDescent="0.2">
      <c r="A21" s="2" t="s">
        <v>14</v>
      </c>
      <c r="B21" s="2"/>
      <c r="C21" s="2"/>
      <c r="D21" s="2"/>
      <c r="E21" s="2"/>
      <c r="F21" s="2"/>
      <c r="H21" s="2"/>
      <c r="I21" s="2"/>
      <c r="J21" s="2"/>
    </row>
    <row r="24" spans="1:11" s="3" customFormat="1" ht="25.5" x14ac:dyDescent="0.2">
      <c r="A24" s="2"/>
      <c r="B24" s="37" t="s">
        <v>15</v>
      </c>
      <c r="C24" s="2"/>
      <c r="D24" s="2"/>
      <c r="E24" s="2"/>
      <c r="F24" s="2"/>
      <c r="G24" s="73" t="s">
        <v>16</v>
      </c>
      <c r="H24" s="73"/>
      <c r="I24" s="73"/>
      <c r="J24" s="38"/>
    </row>
  </sheetData>
  <mergeCells count="4">
    <mergeCell ref="B8:E9"/>
    <mergeCell ref="G8:H9"/>
    <mergeCell ref="A20:I20"/>
    <mergeCell ref="G24:I24"/>
  </mergeCells>
  <pageMargins left="0.7" right="0.7" top="0.75" bottom="0.75" header="0.3" footer="0.3"/>
  <pageSetup scale="67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19023-E31D-4803-81E3-85C9159DFDD0}">
  <sheetPr>
    <tabColor rgb="FFFF0000"/>
  </sheetPr>
  <dimension ref="A1:F23"/>
  <sheetViews>
    <sheetView workbookViewId="0">
      <selection activeCell="H19" sqref="H19"/>
    </sheetView>
  </sheetViews>
  <sheetFormatPr defaultRowHeight="15.75" x14ac:dyDescent="0.25"/>
  <cols>
    <col min="1" max="1" width="3.625" bestFit="1" customWidth="1"/>
    <col min="2" max="2" width="13.625" customWidth="1"/>
    <col min="3" max="3" width="51" customWidth="1"/>
    <col min="5" max="5" width="10.875" customWidth="1"/>
    <col min="6" max="6" width="12.375" customWidth="1"/>
  </cols>
  <sheetData>
    <row r="1" spans="1:6" ht="26.25" x14ac:dyDescent="0.4">
      <c r="A1" s="80" t="s">
        <v>82</v>
      </c>
      <c r="B1" s="80"/>
      <c r="C1" s="80"/>
      <c r="D1" s="80"/>
      <c r="E1" s="80"/>
      <c r="F1" s="80"/>
    </row>
    <row r="2" spans="1:6" x14ac:dyDescent="0.25">
      <c r="A2" s="62" t="s">
        <v>76</v>
      </c>
      <c r="B2" s="62"/>
      <c r="C2" s="62" t="s">
        <v>77</v>
      </c>
      <c r="D2" s="62" t="s">
        <v>79</v>
      </c>
      <c r="E2" s="62" t="s">
        <v>78</v>
      </c>
      <c r="F2" s="62" t="s">
        <v>81</v>
      </c>
    </row>
    <row r="3" spans="1:6" x14ac:dyDescent="0.25">
      <c r="A3" s="60">
        <v>1</v>
      </c>
      <c r="B3" s="65">
        <v>45972</v>
      </c>
      <c r="C3" s="60" t="s">
        <v>61</v>
      </c>
      <c r="D3" s="60" t="s">
        <v>80</v>
      </c>
      <c r="E3" s="61">
        <v>350000</v>
      </c>
      <c r="F3" s="61"/>
    </row>
    <row r="4" spans="1:6" x14ac:dyDescent="0.25">
      <c r="A4" s="60">
        <v>2</v>
      </c>
      <c r="B4" s="65">
        <v>45972</v>
      </c>
      <c r="C4" s="60" t="s">
        <v>63</v>
      </c>
      <c r="D4" s="60" t="s">
        <v>80</v>
      </c>
      <c r="E4" s="61">
        <v>350000</v>
      </c>
      <c r="F4" s="61"/>
    </row>
    <row r="5" spans="1:6" x14ac:dyDescent="0.25">
      <c r="A5" s="60">
        <v>3</v>
      </c>
      <c r="B5" s="65">
        <v>45972</v>
      </c>
      <c r="C5" s="60" t="s">
        <v>64</v>
      </c>
      <c r="D5" s="60" t="s">
        <v>23</v>
      </c>
      <c r="E5" s="61">
        <v>200000</v>
      </c>
      <c r="F5" s="61"/>
    </row>
    <row r="6" spans="1:6" x14ac:dyDescent="0.25">
      <c r="A6" s="60">
        <v>4</v>
      </c>
      <c r="B6" s="65">
        <v>45973</v>
      </c>
      <c r="C6" s="60" t="s">
        <v>65</v>
      </c>
      <c r="D6" s="60" t="s">
        <v>23</v>
      </c>
      <c r="E6" s="61">
        <v>2400000</v>
      </c>
      <c r="F6" s="61"/>
    </row>
    <row r="7" spans="1:6" x14ac:dyDescent="0.25">
      <c r="A7" s="60">
        <v>5</v>
      </c>
      <c r="B7" s="65">
        <v>45974</v>
      </c>
      <c r="C7" s="60" t="s">
        <v>72</v>
      </c>
      <c r="D7" s="60" t="s">
        <v>23</v>
      </c>
      <c r="E7" s="61"/>
      <c r="F7" s="61">
        <v>700000</v>
      </c>
    </row>
    <row r="8" spans="1:6" x14ac:dyDescent="0.25">
      <c r="A8" s="60">
        <v>6</v>
      </c>
      <c r="B8" s="65">
        <v>45975</v>
      </c>
      <c r="C8" s="60" t="s">
        <v>71</v>
      </c>
      <c r="D8" s="60" t="s">
        <v>23</v>
      </c>
      <c r="E8" s="61"/>
      <c r="F8" s="61">
        <v>400000</v>
      </c>
    </row>
    <row r="9" spans="1:6" x14ac:dyDescent="0.25">
      <c r="A9" s="60">
        <v>7</v>
      </c>
      <c r="B9" s="65">
        <v>45976</v>
      </c>
      <c r="C9" s="60" t="s">
        <v>73</v>
      </c>
      <c r="D9" s="60" t="s">
        <v>23</v>
      </c>
      <c r="E9" s="61">
        <v>1500000</v>
      </c>
      <c r="F9" s="61"/>
    </row>
    <row r="10" spans="1:6" x14ac:dyDescent="0.25">
      <c r="A10" s="60">
        <v>8</v>
      </c>
      <c r="B10" s="65">
        <v>45978</v>
      </c>
      <c r="C10" s="60" t="s">
        <v>84</v>
      </c>
      <c r="D10" s="60" t="s">
        <v>23</v>
      </c>
      <c r="E10" s="61">
        <v>1200000</v>
      </c>
      <c r="F10" s="61"/>
    </row>
    <row r="11" spans="1:6" x14ac:dyDescent="0.25">
      <c r="A11" s="60">
        <v>9</v>
      </c>
      <c r="B11" s="65">
        <v>45981</v>
      </c>
      <c r="C11" s="60" t="s">
        <v>85</v>
      </c>
      <c r="D11" s="60" t="s">
        <v>23</v>
      </c>
      <c r="E11" s="61">
        <v>1200000</v>
      </c>
      <c r="F11" s="61"/>
    </row>
    <row r="12" spans="1:6" x14ac:dyDescent="0.25">
      <c r="A12" s="60">
        <v>10</v>
      </c>
      <c r="B12" s="65">
        <v>45982</v>
      </c>
      <c r="C12" s="60" t="s">
        <v>91</v>
      </c>
      <c r="D12" s="60" t="s">
        <v>23</v>
      </c>
      <c r="E12" s="61">
        <v>1300000</v>
      </c>
      <c r="F12" s="61"/>
    </row>
    <row r="13" spans="1:6" x14ac:dyDescent="0.25">
      <c r="A13" s="60">
        <v>11</v>
      </c>
      <c r="B13" s="65">
        <v>45982</v>
      </c>
      <c r="C13" s="67" t="s">
        <v>92</v>
      </c>
      <c r="D13" s="60"/>
      <c r="E13" s="81">
        <v>-5000000</v>
      </c>
      <c r="F13" s="82"/>
    </row>
    <row r="14" spans="1:6" x14ac:dyDescent="0.25">
      <c r="A14" s="60">
        <v>12</v>
      </c>
      <c r="B14" s="65"/>
      <c r="C14" s="60"/>
      <c r="D14" s="60"/>
      <c r="E14" s="61"/>
      <c r="F14" s="61"/>
    </row>
    <row r="15" spans="1:6" x14ac:dyDescent="0.25">
      <c r="A15" s="60">
        <v>13</v>
      </c>
      <c r="B15" s="65"/>
      <c r="C15" s="60"/>
      <c r="D15" s="60"/>
      <c r="E15" s="61"/>
      <c r="F15" s="61"/>
    </row>
    <row r="16" spans="1:6" x14ac:dyDescent="0.25">
      <c r="A16" s="60">
        <v>14</v>
      </c>
      <c r="B16" s="65"/>
      <c r="C16" s="60"/>
      <c r="D16" s="60"/>
      <c r="E16" s="61"/>
      <c r="F16" s="61"/>
    </row>
    <row r="17" spans="1:6" x14ac:dyDescent="0.25">
      <c r="A17" s="60">
        <v>15</v>
      </c>
      <c r="B17" s="65"/>
      <c r="C17" s="60"/>
      <c r="D17" s="60"/>
      <c r="E17" s="61"/>
      <c r="F17" s="61"/>
    </row>
    <row r="18" spans="1:6" x14ac:dyDescent="0.25">
      <c r="A18" s="60">
        <v>16</v>
      </c>
      <c r="B18" s="65"/>
      <c r="C18" s="60"/>
      <c r="D18" s="60"/>
      <c r="E18" s="61"/>
      <c r="F18" s="61"/>
    </row>
    <row r="19" spans="1:6" x14ac:dyDescent="0.25">
      <c r="A19" s="60">
        <v>17</v>
      </c>
      <c r="B19" s="65"/>
      <c r="C19" s="60"/>
      <c r="D19" s="60"/>
      <c r="E19" s="61"/>
      <c r="F19" s="61"/>
    </row>
    <row r="20" spans="1:6" x14ac:dyDescent="0.25">
      <c r="A20" s="60">
        <v>18</v>
      </c>
      <c r="B20" s="65"/>
      <c r="C20" s="60"/>
      <c r="D20" s="60"/>
      <c r="E20" s="61"/>
      <c r="F20" s="61"/>
    </row>
    <row r="21" spans="1:6" x14ac:dyDescent="0.25">
      <c r="A21" s="60">
        <v>19</v>
      </c>
      <c r="B21" s="65"/>
      <c r="C21" s="60"/>
      <c r="D21" s="60"/>
      <c r="E21" s="61"/>
      <c r="F21" s="61"/>
    </row>
    <row r="22" spans="1:6" x14ac:dyDescent="0.25">
      <c r="E22" s="68">
        <f>SUM(E3:E21)</f>
        <v>3500000</v>
      </c>
      <c r="F22" s="68">
        <f>SUM(F3:F21)</f>
        <v>1100000</v>
      </c>
    </row>
    <row r="23" spans="1:6" ht="21" x14ac:dyDescent="0.25">
      <c r="D23" s="66" t="s">
        <v>93</v>
      </c>
      <c r="E23" s="79">
        <f>E22+F22</f>
        <v>4600000</v>
      </c>
      <c r="F23" s="79"/>
    </row>
  </sheetData>
  <mergeCells count="3">
    <mergeCell ref="E23:F23"/>
    <mergeCell ref="A1:F1"/>
    <mergeCell ref="E13:F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CFE30-1ED4-428E-8ABA-D384BBDB8103}">
  <sheetPr>
    <pageSetUpPr fitToPage="1"/>
  </sheetPr>
  <dimension ref="A1:K25"/>
  <sheetViews>
    <sheetView zoomScale="80" zoomScaleNormal="80" zoomScalePageLayoutView="110" workbookViewId="0">
      <selection activeCell="C22" sqref="C22"/>
    </sheetView>
  </sheetViews>
  <sheetFormatPr defaultColWidth="8.75" defaultRowHeight="12.75" x14ac:dyDescent="0.2"/>
  <cols>
    <col min="1" max="1" width="5.5" style="2" customWidth="1"/>
    <col min="2" max="2" width="53.25" style="2" bestFit="1" customWidth="1"/>
    <col min="3" max="3" width="15.5" style="2" bestFit="1" customWidth="1"/>
    <col min="4" max="4" width="10.75" style="2" customWidth="1"/>
    <col min="5" max="6" width="11.75" style="2" customWidth="1"/>
    <col min="7" max="7" width="9.25" style="3" bestFit="1" customWidth="1"/>
    <col min="8" max="8" width="8.5" style="2" customWidth="1"/>
    <col min="9" max="9" width="11.5" style="2" bestFit="1" customWidth="1"/>
    <col min="10" max="10" width="9.25" style="2" customWidth="1"/>
    <col min="11" max="11" width="18.25" style="3" customWidth="1"/>
    <col min="12" max="16384" width="8.75" style="2"/>
  </cols>
  <sheetData>
    <row r="1" spans="1:11" ht="15.75" x14ac:dyDescent="0.25">
      <c r="A1" s="1"/>
    </row>
    <row r="2" spans="1:11" ht="15.75" x14ac:dyDescent="0.25">
      <c r="A2" s="1"/>
    </row>
    <row r="3" spans="1:11" ht="15.75" x14ac:dyDescent="0.25">
      <c r="A3" s="1"/>
    </row>
    <row r="4" spans="1:11" ht="15.75" x14ac:dyDescent="0.25">
      <c r="A4" s="1"/>
    </row>
    <row r="6" spans="1:11" ht="19.5" x14ac:dyDescent="0.3">
      <c r="D6" s="4" t="s">
        <v>0</v>
      </c>
      <c r="E6" s="4"/>
    </row>
    <row r="7" spans="1:11" ht="19.5" x14ac:dyDescent="0.3">
      <c r="D7" s="4" t="s">
        <v>1</v>
      </c>
      <c r="E7" s="4"/>
    </row>
    <row r="8" spans="1:11" ht="16.149999999999999" customHeight="1" x14ac:dyDescent="0.3">
      <c r="B8" s="69" t="s">
        <v>32</v>
      </c>
      <c r="C8" s="69"/>
      <c r="D8" s="69"/>
      <c r="E8" s="69"/>
      <c r="F8" s="5"/>
      <c r="G8" s="71">
        <v>45962</v>
      </c>
      <c r="H8" s="71"/>
    </row>
    <row r="9" spans="1:11" ht="18.75" x14ac:dyDescent="0.3">
      <c r="B9" s="70"/>
      <c r="C9" s="70"/>
      <c r="D9" s="70"/>
      <c r="E9" s="70"/>
      <c r="F9" s="5"/>
      <c r="G9" s="72"/>
      <c r="H9" s="72"/>
    </row>
    <row r="10" spans="1:11" ht="57" x14ac:dyDescent="0.2">
      <c r="A10" s="6" t="s">
        <v>2</v>
      </c>
      <c r="B10" s="6" t="s">
        <v>3</v>
      </c>
      <c r="C10" s="6" t="s">
        <v>4</v>
      </c>
      <c r="D10" s="6" t="s">
        <v>5</v>
      </c>
      <c r="E10" s="6" t="s">
        <v>6</v>
      </c>
      <c r="F10" s="6" t="s">
        <v>7</v>
      </c>
      <c r="G10" s="7" t="s">
        <v>8</v>
      </c>
      <c r="H10" s="6" t="s">
        <v>9</v>
      </c>
      <c r="I10" s="6" t="s">
        <v>10</v>
      </c>
      <c r="J10" s="6" t="s">
        <v>11</v>
      </c>
      <c r="K10" s="7" t="s">
        <v>12</v>
      </c>
    </row>
    <row r="11" spans="1:11" ht="27" customHeight="1" x14ac:dyDescent="0.2">
      <c r="A11" s="8">
        <v>1</v>
      </c>
      <c r="B11" s="40" t="s">
        <v>39</v>
      </c>
      <c r="C11" s="43" t="s">
        <v>33</v>
      </c>
      <c r="D11" s="10">
        <v>45968</v>
      </c>
      <c r="E11" s="11">
        <v>0.47916666666666669</v>
      </c>
      <c r="F11" s="11">
        <v>0.79166666666666663</v>
      </c>
      <c r="G11" s="12">
        <v>460000</v>
      </c>
      <c r="H11" s="13" t="s">
        <v>17</v>
      </c>
      <c r="I11" s="14" t="s">
        <v>34</v>
      </c>
      <c r="J11" s="15">
        <v>325</v>
      </c>
      <c r="K11" s="16">
        <v>2600000</v>
      </c>
    </row>
    <row r="12" spans="1:11" ht="27" customHeight="1" x14ac:dyDescent="0.25">
      <c r="A12" s="8">
        <v>2</v>
      </c>
      <c r="B12" s="17" t="s">
        <v>38</v>
      </c>
      <c r="C12" s="9"/>
      <c r="D12" s="19">
        <v>45969</v>
      </c>
      <c r="E12" s="41">
        <v>0.5625</v>
      </c>
      <c r="F12" s="41">
        <v>0.95833333333333337</v>
      </c>
      <c r="G12" s="20">
        <v>510000</v>
      </c>
      <c r="H12" s="14" t="s">
        <v>17</v>
      </c>
      <c r="I12" s="14" t="s">
        <v>18</v>
      </c>
      <c r="J12" s="15">
        <v>305</v>
      </c>
      <c r="K12" s="16">
        <v>2500000</v>
      </c>
    </row>
    <row r="13" spans="1:11" ht="27" customHeight="1" x14ac:dyDescent="0.25">
      <c r="A13" s="8">
        <v>3</v>
      </c>
      <c r="B13" s="17" t="s">
        <v>40</v>
      </c>
      <c r="C13" s="9" t="s">
        <v>41</v>
      </c>
      <c r="D13" s="21">
        <v>45970</v>
      </c>
      <c r="E13" s="46">
        <v>0.25347222222222221</v>
      </c>
      <c r="F13" s="41">
        <v>0.375</v>
      </c>
      <c r="G13" s="20">
        <f>220000+40000+10000</f>
        <v>270000</v>
      </c>
      <c r="H13" s="14" t="s">
        <v>28</v>
      </c>
      <c r="I13" s="14" t="s">
        <v>43</v>
      </c>
      <c r="J13" s="15">
        <v>175</v>
      </c>
      <c r="K13" s="16">
        <v>1600000</v>
      </c>
    </row>
    <row r="14" spans="1:11" ht="27" customHeight="1" x14ac:dyDescent="0.25">
      <c r="A14" s="8">
        <v>4</v>
      </c>
      <c r="B14" s="17" t="s">
        <v>40</v>
      </c>
      <c r="C14" s="24" t="s">
        <v>44</v>
      </c>
      <c r="D14" s="21">
        <v>45970</v>
      </c>
      <c r="E14" s="47">
        <v>0.28472222222222221</v>
      </c>
      <c r="F14" s="41">
        <v>0.40972222222222227</v>
      </c>
      <c r="G14" s="20">
        <f>220000+40000+10000</f>
        <v>270000</v>
      </c>
      <c r="H14" s="14" t="s">
        <v>28</v>
      </c>
      <c r="I14" s="14" t="s">
        <v>42</v>
      </c>
      <c r="J14" s="26">
        <v>175</v>
      </c>
      <c r="K14" s="16">
        <v>1600000</v>
      </c>
    </row>
    <row r="15" spans="1:11" ht="31.5" x14ac:dyDescent="0.25">
      <c r="A15" s="8">
        <v>5</v>
      </c>
      <c r="B15" s="17" t="s">
        <v>40</v>
      </c>
      <c r="C15" s="53" t="s">
        <v>45</v>
      </c>
      <c r="D15" s="21">
        <v>45970</v>
      </c>
      <c r="E15" s="47">
        <v>0.33333333333333331</v>
      </c>
      <c r="F15" s="41">
        <v>0.45833333333333331</v>
      </c>
      <c r="G15" s="20">
        <f>220000+40000+10000</f>
        <v>270000</v>
      </c>
      <c r="H15" s="14" t="s">
        <v>28</v>
      </c>
      <c r="I15" s="14" t="s">
        <v>46</v>
      </c>
      <c r="J15" s="26">
        <v>175</v>
      </c>
      <c r="K15" s="16">
        <v>1600000</v>
      </c>
    </row>
    <row r="16" spans="1:11" ht="33.75" customHeight="1" x14ac:dyDescent="0.25">
      <c r="A16" s="8">
        <v>6</v>
      </c>
      <c r="B16" s="48" t="s">
        <v>40</v>
      </c>
      <c r="C16" s="53" t="s">
        <v>47</v>
      </c>
      <c r="D16" s="21">
        <v>45970</v>
      </c>
      <c r="E16" s="47">
        <v>0.5</v>
      </c>
      <c r="F16" s="14"/>
      <c r="G16" s="20"/>
      <c r="H16" s="14"/>
      <c r="I16" s="14"/>
      <c r="J16" s="26"/>
      <c r="K16" s="49">
        <v>500000</v>
      </c>
    </row>
    <row r="17" spans="1:11" ht="27" customHeight="1" x14ac:dyDescent="0.2">
      <c r="A17" s="8">
        <v>7</v>
      </c>
      <c r="B17" s="24" t="s">
        <v>74</v>
      </c>
      <c r="C17" s="24"/>
      <c r="D17" s="51"/>
      <c r="E17" s="24"/>
      <c r="F17" s="14"/>
      <c r="G17" s="20"/>
      <c r="H17" s="14"/>
      <c r="I17" s="14"/>
      <c r="J17" s="26"/>
      <c r="K17" s="49">
        <v>1464000</v>
      </c>
    </row>
    <row r="18" spans="1:11" ht="27" customHeight="1" x14ac:dyDescent="0.2">
      <c r="A18" s="8">
        <v>8</v>
      </c>
      <c r="B18" s="24" t="s">
        <v>75</v>
      </c>
      <c r="C18" s="24"/>
      <c r="D18" s="51"/>
      <c r="E18" s="24"/>
      <c r="F18" s="14"/>
      <c r="G18" s="20"/>
      <c r="H18" s="14"/>
      <c r="I18" s="14"/>
      <c r="J18" s="26"/>
      <c r="K18" s="49">
        <v>870000</v>
      </c>
    </row>
    <row r="19" spans="1:11" ht="27" customHeight="1" x14ac:dyDescent="0.2">
      <c r="A19" s="8">
        <v>9</v>
      </c>
      <c r="B19" s="24"/>
      <c r="C19" s="24"/>
      <c r="D19" s="51"/>
      <c r="E19" s="24"/>
      <c r="F19" s="14"/>
      <c r="G19" s="20"/>
      <c r="H19" s="14"/>
      <c r="I19" s="14"/>
      <c r="J19" s="26"/>
      <c r="K19" s="27" t="s">
        <v>87</v>
      </c>
    </row>
    <row r="20" spans="1:11" ht="27" customHeight="1" x14ac:dyDescent="0.2">
      <c r="A20" s="8">
        <v>10</v>
      </c>
      <c r="B20" s="40"/>
      <c r="C20" s="43"/>
      <c r="D20" s="10"/>
      <c r="E20" s="11"/>
      <c r="F20" s="11"/>
      <c r="G20" s="12"/>
      <c r="H20" s="13"/>
      <c r="I20" s="14"/>
      <c r="J20" s="15"/>
      <c r="K20" s="16"/>
    </row>
    <row r="21" spans="1:11" ht="30" customHeight="1" x14ac:dyDescent="0.2">
      <c r="A21" s="76" t="s">
        <v>13</v>
      </c>
      <c r="B21" s="77"/>
      <c r="C21" s="77"/>
      <c r="D21" s="77"/>
      <c r="E21" s="77"/>
      <c r="F21" s="77"/>
      <c r="G21" s="77"/>
      <c r="H21" s="77"/>
      <c r="I21" s="78"/>
      <c r="J21" s="35"/>
      <c r="K21" s="36">
        <f>SUM(K11:K20)</f>
        <v>12734000</v>
      </c>
    </row>
    <row r="22" spans="1:11" s="3" customFormat="1" x14ac:dyDescent="0.2">
      <c r="A22" s="2" t="s">
        <v>14</v>
      </c>
      <c r="B22" s="2"/>
      <c r="C22" s="2"/>
      <c r="D22" s="2"/>
      <c r="E22" s="2"/>
      <c r="F22" s="2"/>
      <c r="H22" s="2"/>
      <c r="I22" s="2"/>
      <c r="J22" s="2"/>
    </row>
    <row r="25" spans="1:11" s="3" customFormat="1" ht="25.5" x14ac:dyDescent="0.2">
      <c r="A25" s="2"/>
      <c r="B25" s="37" t="s">
        <v>15</v>
      </c>
      <c r="C25" s="2"/>
      <c r="D25" s="2"/>
      <c r="E25" s="2"/>
      <c r="F25" s="2"/>
      <c r="G25" s="73" t="s">
        <v>16</v>
      </c>
      <c r="H25" s="73"/>
      <c r="I25" s="73"/>
      <c r="J25" s="52"/>
      <c r="K25" s="3">
        <f>19764000-K21</f>
        <v>7030000</v>
      </c>
    </row>
  </sheetData>
  <mergeCells count="4">
    <mergeCell ref="B8:E9"/>
    <mergeCell ref="G8:H9"/>
    <mergeCell ref="A21:I21"/>
    <mergeCell ref="G25:I25"/>
  </mergeCells>
  <pageMargins left="0.7" right="0.7" top="0.75" bottom="0.75" header="0.3" footer="0.3"/>
  <pageSetup scale="67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219C4-9F23-4C71-BCA4-57C30C07BA78}">
  <sheetPr>
    <pageSetUpPr fitToPage="1"/>
  </sheetPr>
  <dimension ref="A1:K26"/>
  <sheetViews>
    <sheetView zoomScale="80" zoomScaleNormal="80" zoomScalePageLayoutView="110" workbookViewId="0">
      <selection activeCell="J28" sqref="J28"/>
    </sheetView>
  </sheetViews>
  <sheetFormatPr defaultColWidth="8.75" defaultRowHeight="12.75" x14ac:dyDescent="0.2"/>
  <cols>
    <col min="1" max="1" width="5.5" style="2" customWidth="1"/>
    <col min="2" max="2" width="53.25" style="2" bestFit="1" customWidth="1"/>
    <col min="3" max="3" width="15.5" style="2" bestFit="1" customWidth="1"/>
    <col min="4" max="4" width="10.75" style="2" customWidth="1"/>
    <col min="5" max="6" width="11.75" style="2" customWidth="1"/>
    <col min="7" max="7" width="9.25" style="3" bestFit="1" customWidth="1"/>
    <col min="8" max="8" width="8.5" style="2" customWidth="1"/>
    <col min="9" max="9" width="11.5" style="2" bestFit="1" customWidth="1"/>
    <col min="10" max="10" width="9.25" style="2" customWidth="1"/>
    <col min="11" max="11" width="18.25" style="3" customWidth="1"/>
    <col min="12" max="16384" width="8.75" style="2"/>
  </cols>
  <sheetData>
    <row r="1" spans="1:11" ht="15.75" x14ac:dyDescent="0.25">
      <c r="A1" s="1"/>
    </row>
    <row r="2" spans="1:11" ht="15.75" x14ac:dyDescent="0.25">
      <c r="A2" s="1"/>
    </row>
    <row r="3" spans="1:11" ht="15.75" x14ac:dyDescent="0.25">
      <c r="A3" s="1"/>
    </row>
    <row r="4" spans="1:11" ht="15.75" x14ac:dyDescent="0.25">
      <c r="A4" s="1"/>
    </row>
    <row r="6" spans="1:11" ht="19.5" x14ac:dyDescent="0.3">
      <c r="D6" s="4" t="s">
        <v>0</v>
      </c>
      <c r="E6" s="4"/>
    </row>
    <row r="7" spans="1:11" ht="19.5" x14ac:dyDescent="0.3">
      <c r="D7" s="4" t="s">
        <v>1</v>
      </c>
      <c r="E7" s="4"/>
    </row>
    <row r="8" spans="1:11" ht="16.149999999999999" customHeight="1" x14ac:dyDescent="0.3">
      <c r="B8" s="69" t="s">
        <v>59</v>
      </c>
      <c r="C8" s="69"/>
      <c r="D8" s="69"/>
      <c r="E8" s="69"/>
      <c r="F8" s="5"/>
      <c r="G8" s="71">
        <v>45962</v>
      </c>
      <c r="H8" s="71"/>
    </row>
    <row r="9" spans="1:11" ht="18.75" x14ac:dyDescent="0.3">
      <c r="B9" s="70"/>
      <c r="C9" s="70"/>
      <c r="D9" s="70"/>
      <c r="E9" s="70"/>
      <c r="F9" s="5"/>
      <c r="G9" s="72"/>
      <c r="H9" s="72"/>
    </row>
    <row r="10" spans="1:11" ht="57" x14ac:dyDescent="0.2">
      <c r="A10" s="6" t="s">
        <v>2</v>
      </c>
      <c r="B10" s="6" t="s">
        <v>3</v>
      </c>
      <c r="C10" s="6" t="s">
        <v>4</v>
      </c>
      <c r="D10" s="6" t="s">
        <v>5</v>
      </c>
      <c r="E10" s="6" t="s">
        <v>6</v>
      </c>
      <c r="F10" s="6" t="s">
        <v>7</v>
      </c>
      <c r="G10" s="7" t="s">
        <v>8</v>
      </c>
      <c r="H10" s="6" t="s">
        <v>9</v>
      </c>
      <c r="I10" s="6" t="s">
        <v>10</v>
      </c>
      <c r="J10" s="6" t="s">
        <v>11</v>
      </c>
      <c r="K10" s="7" t="s">
        <v>12</v>
      </c>
    </row>
    <row r="11" spans="1:11" ht="27.75" customHeight="1" x14ac:dyDescent="0.2">
      <c r="A11" s="8">
        <v>1</v>
      </c>
      <c r="B11" s="40" t="s">
        <v>39</v>
      </c>
      <c r="C11" s="43" t="s">
        <v>33</v>
      </c>
      <c r="D11" s="10">
        <v>45968</v>
      </c>
      <c r="E11" s="11">
        <v>0.47916666666666669</v>
      </c>
      <c r="F11" s="11">
        <v>0.79166666666666663</v>
      </c>
      <c r="G11" s="12">
        <v>460000</v>
      </c>
      <c r="H11" s="13" t="s">
        <v>17</v>
      </c>
      <c r="I11" s="14" t="s">
        <v>34</v>
      </c>
      <c r="J11" s="15">
        <v>325</v>
      </c>
      <c r="K11" s="16">
        <v>2600000</v>
      </c>
    </row>
    <row r="12" spans="1:11" ht="27.75" customHeight="1" x14ac:dyDescent="0.25">
      <c r="A12" s="8">
        <v>2</v>
      </c>
      <c r="B12" s="17" t="s">
        <v>38</v>
      </c>
      <c r="C12" s="9"/>
      <c r="D12" s="19">
        <v>45969</v>
      </c>
      <c r="E12" s="41">
        <v>0.5625</v>
      </c>
      <c r="F12" s="41">
        <v>0.95833333333333337</v>
      </c>
      <c r="G12" s="20">
        <v>510000</v>
      </c>
      <c r="H12" s="14" t="s">
        <v>17</v>
      </c>
      <c r="I12" s="14" t="s">
        <v>18</v>
      </c>
      <c r="J12" s="15">
        <v>305</v>
      </c>
      <c r="K12" s="16">
        <v>2500000</v>
      </c>
    </row>
    <row r="13" spans="1:11" ht="27.75" customHeight="1" x14ac:dyDescent="0.25">
      <c r="A13" s="8">
        <v>3</v>
      </c>
      <c r="B13" s="17" t="s">
        <v>40</v>
      </c>
      <c r="C13" s="9" t="s">
        <v>41</v>
      </c>
      <c r="D13" s="21">
        <v>45970</v>
      </c>
      <c r="E13" s="46">
        <v>0.25347222222222221</v>
      </c>
      <c r="F13" s="41">
        <v>0.375</v>
      </c>
      <c r="G13" s="20">
        <f>220000+40000+10000</f>
        <v>270000</v>
      </c>
      <c r="H13" s="14" t="s">
        <v>28</v>
      </c>
      <c r="I13" s="14" t="s">
        <v>43</v>
      </c>
      <c r="J13" s="15">
        <v>175</v>
      </c>
      <c r="K13" s="16">
        <v>2200000</v>
      </c>
    </row>
    <row r="14" spans="1:11" ht="27.75" customHeight="1" x14ac:dyDescent="0.25">
      <c r="A14" s="8">
        <v>4</v>
      </c>
      <c r="B14" s="17" t="s">
        <v>40</v>
      </c>
      <c r="C14" s="24" t="s">
        <v>44</v>
      </c>
      <c r="D14" s="21">
        <v>45970</v>
      </c>
      <c r="E14" s="47">
        <v>0.28472222222222221</v>
      </c>
      <c r="F14" s="41">
        <v>0.40972222222222227</v>
      </c>
      <c r="G14" s="20">
        <f>220000+40000+10000</f>
        <v>270000</v>
      </c>
      <c r="H14" s="14" t="s">
        <v>28</v>
      </c>
      <c r="I14" s="14" t="s">
        <v>42</v>
      </c>
      <c r="J14" s="26">
        <v>175</v>
      </c>
      <c r="K14" s="16">
        <v>2200000</v>
      </c>
    </row>
    <row r="15" spans="1:11" ht="27.75" customHeight="1" x14ac:dyDescent="0.25">
      <c r="A15" s="8">
        <v>5</v>
      </c>
      <c r="B15" s="17" t="s">
        <v>40</v>
      </c>
      <c r="C15" s="53" t="s">
        <v>45</v>
      </c>
      <c r="D15" s="21">
        <v>45970</v>
      </c>
      <c r="E15" s="47">
        <v>0.33333333333333331</v>
      </c>
      <c r="F15" s="41">
        <v>0.45833333333333331</v>
      </c>
      <c r="G15" s="20">
        <f>220000+40000+10000</f>
        <v>270000</v>
      </c>
      <c r="H15" s="14" t="s">
        <v>28</v>
      </c>
      <c r="I15" s="14" t="s">
        <v>46</v>
      </c>
      <c r="J15" s="26">
        <v>175</v>
      </c>
      <c r="K15" s="16">
        <v>2200000</v>
      </c>
    </row>
    <row r="16" spans="1:11" ht="27.75" customHeight="1" x14ac:dyDescent="0.25">
      <c r="A16" s="8">
        <v>6</v>
      </c>
      <c r="B16" s="48" t="s">
        <v>40</v>
      </c>
      <c r="C16" s="53" t="s">
        <v>47</v>
      </c>
      <c r="D16" s="21">
        <v>45970</v>
      </c>
      <c r="E16" s="47">
        <v>0.5</v>
      </c>
      <c r="F16" s="41">
        <v>0.625</v>
      </c>
      <c r="G16" s="20"/>
      <c r="H16" s="14"/>
      <c r="I16" s="14"/>
      <c r="J16" s="26"/>
      <c r="K16" s="16">
        <v>2200000</v>
      </c>
    </row>
    <row r="17" spans="1:11" ht="27.75" customHeight="1" x14ac:dyDescent="0.2">
      <c r="A17" s="8">
        <v>7</v>
      </c>
      <c r="B17" s="48" t="s">
        <v>40</v>
      </c>
      <c r="C17" s="24"/>
      <c r="D17" s="51"/>
      <c r="E17" s="24"/>
      <c r="F17" s="14"/>
      <c r="G17" s="20"/>
      <c r="H17" s="14"/>
      <c r="I17" s="14"/>
      <c r="J17" s="26"/>
      <c r="K17" s="16">
        <v>2200000</v>
      </c>
    </row>
    <row r="18" spans="1:11" ht="27.75" customHeight="1" x14ac:dyDescent="0.2">
      <c r="A18" s="8">
        <v>8</v>
      </c>
      <c r="B18" s="48" t="s">
        <v>40</v>
      </c>
      <c r="C18" s="24"/>
      <c r="D18" s="51"/>
      <c r="E18" s="24"/>
      <c r="F18" s="14"/>
      <c r="G18" s="20"/>
      <c r="H18" s="14"/>
      <c r="I18" s="14"/>
      <c r="J18" s="26"/>
      <c r="K18" s="16">
        <v>2200000</v>
      </c>
    </row>
    <row r="19" spans="1:11" ht="27.75" customHeight="1" x14ac:dyDescent="0.2">
      <c r="A19" s="8">
        <v>9</v>
      </c>
      <c r="B19" s="48"/>
      <c r="C19" s="24"/>
      <c r="D19" s="51"/>
      <c r="E19" s="24"/>
      <c r="F19" s="14"/>
      <c r="G19" s="20"/>
      <c r="H19" s="14"/>
      <c r="I19" s="14"/>
      <c r="J19" s="26"/>
      <c r="K19" s="49"/>
    </row>
    <row r="20" spans="1:11" ht="27.75" customHeight="1" x14ac:dyDescent="0.2">
      <c r="A20" s="8">
        <v>10</v>
      </c>
      <c r="B20" s="48"/>
      <c r="C20" s="24"/>
      <c r="D20" s="51"/>
      <c r="E20" s="24"/>
      <c r="F20" s="14"/>
      <c r="G20" s="20"/>
      <c r="H20" s="14"/>
      <c r="I20" s="14"/>
      <c r="J20" s="26"/>
      <c r="K20" s="49"/>
    </row>
    <row r="21" spans="1:11" ht="27.75" customHeight="1" x14ac:dyDescent="0.2">
      <c r="A21" s="8">
        <v>10</v>
      </c>
      <c r="B21" s="48" t="s">
        <v>58</v>
      </c>
      <c r="C21" s="24"/>
      <c r="D21" s="51"/>
      <c r="E21" s="24"/>
      <c r="F21" s="14"/>
      <c r="G21" s="20"/>
      <c r="H21" s="14"/>
      <c r="I21" s="14"/>
      <c r="J21" s="26"/>
      <c r="K21" s="49">
        <f>SUM(K11:K20)*8%</f>
        <v>1464000</v>
      </c>
    </row>
    <row r="22" spans="1:11" ht="30" customHeight="1" x14ac:dyDescent="0.2">
      <c r="A22" s="76" t="s">
        <v>13</v>
      </c>
      <c r="B22" s="77"/>
      <c r="C22" s="77"/>
      <c r="D22" s="77"/>
      <c r="E22" s="77"/>
      <c r="F22" s="77"/>
      <c r="G22" s="77"/>
      <c r="H22" s="77"/>
      <c r="I22" s="78"/>
      <c r="J22" s="35"/>
      <c r="K22" s="36">
        <f>SUM(K11:K21)</f>
        <v>19764000</v>
      </c>
    </row>
    <row r="23" spans="1:11" s="3" customFormat="1" x14ac:dyDescent="0.2">
      <c r="A23" s="2" t="s">
        <v>14</v>
      </c>
      <c r="B23" s="2"/>
      <c r="C23" s="2"/>
      <c r="D23" s="2"/>
      <c r="E23" s="2"/>
      <c r="F23" s="2"/>
      <c r="H23" s="2"/>
      <c r="I23" s="2"/>
      <c r="J23" s="2"/>
    </row>
    <row r="26" spans="1:11" s="3" customFormat="1" ht="25.5" x14ac:dyDescent="0.2">
      <c r="A26" s="2"/>
      <c r="B26" s="37" t="s">
        <v>15</v>
      </c>
      <c r="C26" s="2"/>
      <c r="D26" s="2"/>
      <c r="E26" s="2"/>
      <c r="F26" s="2"/>
      <c r="G26" s="73" t="s">
        <v>16</v>
      </c>
      <c r="H26" s="73"/>
      <c r="I26" s="73"/>
      <c r="J26" s="44"/>
    </row>
  </sheetData>
  <mergeCells count="4">
    <mergeCell ref="B8:E9"/>
    <mergeCell ref="G8:H9"/>
    <mergeCell ref="A22:I22"/>
    <mergeCell ref="G26:I26"/>
  </mergeCells>
  <pageMargins left="0.7" right="0.7" top="0.75" bottom="0.75" header="0.3" footer="0.3"/>
  <pageSetup scale="67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48040-5982-4A20-BADE-26CFBCC2660C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D1D9A-2244-43F9-B21B-8044CB3A72E7}">
  <sheetPr>
    <pageSetUpPr fitToPage="1"/>
  </sheetPr>
  <dimension ref="A1:K24"/>
  <sheetViews>
    <sheetView zoomScale="80" zoomScaleNormal="80" zoomScalePageLayoutView="110" workbookViewId="0">
      <selection activeCell="C37" sqref="C37"/>
    </sheetView>
  </sheetViews>
  <sheetFormatPr defaultColWidth="8.75" defaultRowHeight="12.75" x14ac:dyDescent="0.2"/>
  <cols>
    <col min="1" max="1" width="5.5" style="2" customWidth="1"/>
    <col min="2" max="2" width="53.25" style="2" bestFit="1" customWidth="1"/>
    <col min="3" max="3" width="14.75" style="2" customWidth="1"/>
    <col min="4" max="4" width="14.5" style="2" customWidth="1"/>
    <col min="5" max="5" width="12.5" style="2" customWidth="1"/>
    <col min="6" max="6" width="12.75" style="2" customWidth="1"/>
    <col min="7" max="7" width="9.25" style="3" bestFit="1" customWidth="1"/>
    <col min="8" max="8" width="8.5" style="2" customWidth="1"/>
    <col min="9" max="9" width="11.5" style="2" bestFit="1" customWidth="1"/>
    <col min="10" max="10" width="9.25" style="2" customWidth="1"/>
    <col min="11" max="11" width="18.25" style="3" customWidth="1"/>
    <col min="12" max="16384" width="8.75" style="2"/>
  </cols>
  <sheetData>
    <row r="1" spans="1:11" ht="15.75" x14ac:dyDescent="0.25">
      <c r="A1" s="1"/>
    </row>
    <row r="2" spans="1:11" ht="15.75" x14ac:dyDescent="0.25">
      <c r="A2" s="1"/>
    </row>
    <row r="3" spans="1:11" ht="15.75" x14ac:dyDescent="0.25">
      <c r="A3" s="1"/>
    </row>
    <row r="4" spans="1:11" ht="15.75" x14ac:dyDescent="0.25">
      <c r="A4" s="1"/>
    </row>
    <row r="6" spans="1:11" ht="19.5" x14ac:dyDescent="0.3">
      <c r="D6" s="4" t="s">
        <v>0</v>
      </c>
      <c r="E6" s="4"/>
    </row>
    <row r="7" spans="1:11" ht="19.5" x14ac:dyDescent="0.3">
      <c r="D7" s="4" t="s">
        <v>1</v>
      </c>
      <c r="E7" s="4"/>
    </row>
    <row r="8" spans="1:11" ht="16.149999999999999" customHeight="1" x14ac:dyDescent="0.3">
      <c r="B8" s="69" t="s">
        <v>20</v>
      </c>
      <c r="C8" s="69"/>
      <c r="D8" s="69"/>
      <c r="E8" s="69"/>
      <c r="F8" s="5"/>
      <c r="G8" s="71">
        <v>45931</v>
      </c>
      <c r="H8" s="71"/>
    </row>
    <row r="9" spans="1:11" ht="18.75" x14ac:dyDescent="0.3">
      <c r="B9" s="70"/>
      <c r="C9" s="70"/>
      <c r="D9" s="70"/>
      <c r="E9" s="70"/>
      <c r="F9" s="5"/>
      <c r="G9" s="72"/>
      <c r="H9" s="72"/>
    </row>
    <row r="10" spans="1:11" ht="57" x14ac:dyDescent="0.2">
      <c r="A10" s="6" t="s">
        <v>2</v>
      </c>
      <c r="B10" s="6" t="s">
        <v>3</v>
      </c>
      <c r="C10" s="6" t="s">
        <v>4</v>
      </c>
      <c r="D10" s="6" t="s">
        <v>5</v>
      </c>
      <c r="E10" s="6" t="s">
        <v>6</v>
      </c>
      <c r="F10" s="6" t="s">
        <v>7</v>
      </c>
      <c r="G10" s="7" t="s">
        <v>8</v>
      </c>
      <c r="H10" s="6" t="s">
        <v>9</v>
      </c>
      <c r="I10" s="6" t="s">
        <v>10</v>
      </c>
      <c r="J10" s="6" t="s">
        <v>11</v>
      </c>
      <c r="K10" s="7" t="s">
        <v>12</v>
      </c>
    </row>
    <row r="11" spans="1:11" ht="25.5" customHeight="1" x14ac:dyDescent="0.2">
      <c r="A11" s="8">
        <v>1</v>
      </c>
      <c r="B11" s="40"/>
      <c r="C11" s="9"/>
      <c r="D11" s="10"/>
      <c r="E11" s="11"/>
      <c r="F11" s="11"/>
      <c r="G11" s="12"/>
      <c r="H11" s="13"/>
      <c r="I11" s="14"/>
      <c r="J11" s="15"/>
      <c r="K11" s="16"/>
    </row>
    <row r="12" spans="1:11" ht="27" customHeight="1" x14ac:dyDescent="0.25">
      <c r="A12" s="8">
        <v>2</v>
      </c>
      <c r="B12" s="17"/>
      <c r="C12" s="18"/>
      <c r="D12" s="19"/>
      <c r="E12" s="14"/>
      <c r="F12" s="14"/>
      <c r="G12" s="20"/>
      <c r="H12" s="14"/>
      <c r="I12" s="14"/>
      <c r="J12" s="15"/>
      <c r="K12" s="16"/>
    </row>
    <row r="13" spans="1:11" ht="27" customHeight="1" x14ac:dyDescent="0.25">
      <c r="A13" s="8">
        <v>3</v>
      </c>
      <c r="B13" s="17"/>
      <c r="C13" s="9"/>
      <c r="D13" s="21"/>
      <c r="E13" s="22"/>
      <c r="F13" s="14"/>
      <c r="G13" s="20"/>
      <c r="H13" s="14"/>
      <c r="I13" s="14"/>
      <c r="J13" s="15"/>
      <c r="K13" s="16"/>
    </row>
    <row r="14" spans="1:11" ht="27" customHeight="1" x14ac:dyDescent="0.25">
      <c r="A14" s="8">
        <v>4</v>
      </c>
      <c r="B14" s="23"/>
      <c r="C14" s="24"/>
      <c r="D14" s="25"/>
      <c r="E14" s="24"/>
      <c r="F14" s="14"/>
      <c r="G14" s="20"/>
      <c r="H14" s="14"/>
      <c r="I14" s="14"/>
      <c r="J14" s="26"/>
      <c r="K14" s="27"/>
    </row>
    <row r="15" spans="1:11" ht="27" customHeight="1" x14ac:dyDescent="0.25">
      <c r="A15" s="8">
        <v>5</v>
      </c>
      <c r="B15" s="28"/>
      <c r="C15" s="28"/>
      <c r="D15" s="29"/>
      <c r="E15" s="28"/>
      <c r="F15" s="30"/>
      <c r="G15" s="31"/>
      <c r="H15" s="30"/>
      <c r="I15" s="30"/>
      <c r="J15" s="32"/>
      <c r="K15" s="33"/>
    </row>
    <row r="16" spans="1:11" ht="27" customHeight="1" x14ac:dyDescent="0.2">
      <c r="A16" s="8">
        <v>6</v>
      </c>
      <c r="B16" s="28"/>
      <c r="C16" s="28"/>
      <c r="D16" s="34"/>
      <c r="E16" s="28"/>
      <c r="F16" s="30"/>
      <c r="G16" s="31"/>
      <c r="H16" s="30"/>
      <c r="I16" s="30"/>
      <c r="J16" s="32"/>
      <c r="K16" s="33"/>
    </row>
    <row r="17" spans="1:11" ht="27" customHeight="1" x14ac:dyDescent="0.2">
      <c r="A17" s="8">
        <v>7</v>
      </c>
      <c r="B17" s="28"/>
      <c r="C17" s="28"/>
      <c r="D17" s="34"/>
      <c r="E17" s="28"/>
      <c r="F17" s="30"/>
      <c r="G17" s="31"/>
      <c r="H17" s="30"/>
      <c r="I17" s="30"/>
      <c r="J17" s="32"/>
      <c r="K17" s="33"/>
    </row>
    <row r="18" spans="1:11" ht="27" customHeight="1" x14ac:dyDescent="0.2">
      <c r="A18" s="8">
        <v>8</v>
      </c>
      <c r="B18" s="28"/>
      <c r="C18" s="28"/>
      <c r="D18" s="34"/>
      <c r="E18" s="28"/>
      <c r="F18" s="30"/>
      <c r="G18" s="31"/>
      <c r="H18" s="30"/>
      <c r="I18" s="30"/>
      <c r="J18" s="32"/>
      <c r="K18" s="33"/>
    </row>
    <row r="19" spans="1:11" ht="27" customHeight="1" x14ac:dyDescent="0.2">
      <c r="A19" s="8">
        <v>9</v>
      </c>
      <c r="B19" s="28"/>
      <c r="C19" s="28"/>
      <c r="D19" s="34"/>
      <c r="E19" s="28"/>
      <c r="F19" s="30"/>
      <c r="G19" s="31"/>
      <c r="H19" s="30"/>
      <c r="I19" s="30"/>
      <c r="J19" s="32"/>
      <c r="K19" s="33"/>
    </row>
    <row r="20" spans="1:11" ht="21.75" customHeight="1" x14ac:dyDescent="0.2">
      <c r="A20" s="76" t="s">
        <v>13</v>
      </c>
      <c r="B20" s="77"/>
      <c r="C20" s="77"/>
      <c r="D20" s="77"/>
      <c r="E20" s="77"/>
      <c r="F20" s="77"/>
      <c r="G20" s="77"/>
      <c r="H20" s="77"/>
      <c r="I20" s="78"/>
      <c r="J20" s="35"/>
      <c r="K20" s="36">
        <f>SUM(K11:K19)</f>
        <v>0</v>
      </c>
    </row>
    <row r="21" spans="1:11" s="3" customFormat="1" x14ac:dyDescent="0.2">
      <c r="A21" s="2" t="s">
        <v>14</v>
      </c>
      <c r="B21" s="2"/>
      <c r="C21" s="2"/>
      <c r="D21" s="2"/>
      <c r="E21" s="2"/>
      <c r="F21" s="2"/>
      <c r="H21" s="2"/>
      <c r="I21" s="2"/>
      <c r="J21" s="2"/>
    </row>
    <row r="24" spans="1:11" s="3" customFormat="1" ht="25.5" x14ac:dyDescent="0.2">
      <c r="A24" s="2"/>
      <c r="B24" s="37" t="s">
        <v>15</v>
      </c>
      <c r="C24" s="2"/>
      <c r="D24" s="2"/>
      <c r="E24" s="2"/>
      <c r="F24" s="2"/>
      <c r="G24" s="73" t="s">
        <v>16</v>
      </c>
      <c r="H24" s="73"/>
      <c r="I24" s="73"/>
      <c r="J24" s="63"/>
    </row>
  </sheetData>
  <mergeCells count="4">
    <mergeCell ref="B8:E9"/>
    <mergeCell ref="G8:H9"/>
    <mergeCell ref="A20:I20"/>
    <mergeCell ref="G24:I24"/>
  </mergeCells>
  <pageMargins left="0.7" right="0.7" top="0.75" bottom="0.75" header="0.3" footer="0.3"/>
  <pageSetup scale="6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Thảo</vt:lpstr>
      <vt:lpstr>Sơn Jotun VAT</vt:lpstr>
      <vt:lpstr>Hân</vt:lpstr>
      <vt:lpstr>Chi</vt:lpstr>
      <vt:lpstr>Khách Lẻ</vt:lpstr>
      <vt:lpstr>Lương a Đà Lái Xe</vt:lpstr>
      <vt:lpstr>Hà Sự Kiện VAT (2)</vt:lpstr>
      <vt:lpstr>Hà Sự Kiện VAT</vt:lpstr>
      <vt:lpstr>Sheet3</vt:lpstr>
      <vt:lpstr>a Khoa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Mạnh Lê</dc:creator>
  <cp:lastModifiedBy>Mạnh Lê</cp:lastModifiedBy>
  <dcterms:created xsi:type="dcterms:W3CDTF">2025-10-16T03:26:31Z</dcterms:created>
  <dcterms:modified xsi:type="dcterms:W3CDTF">2025-11-25T03:54:47Z</dcterms:modified>
</cp:coreProperties>
</file>